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phuong_tnmt\cmb\data\ambient\"/>
    </mc:Choice>
  </mc:AlternateContent>
  <xr:revisionPtr revIDLastSave="0" documentId="13_ncr:1_{02C585D0-7185-4CA3-A4D9-FF5A29E50902}" xr6:coauthVersionLast="47" xr6:coauthVersionMax="47" xr10:uidLastSave="{00000000-0000-0000-0000-000000000000}"/>
  <bookViews>
    <workbookView xWindow="28680" yWindow="-930" windowWidth="29040" windowHeight="15720" activeTab="2" xr2:uid="{00000000-000D-0000-FFFF-FFFF00000000}"/>
  </bookViews>
  <sheets>
    <sheet name="HP" sheetId="23" r:id="rId1"/>
    <sheet name="QN" sheetId="20" r:id="rId2"/>
    <sheet name="HY" sheetId="22" r:id="rId3"/>
  </sheets>
  <definedNames>
    <definedName name="_xlnm._FilterDatabase" localSheetId="0" hidden="1">HP!$A$1:$W$19</definedName>
    <definedName name="_xlnm._FilterDatabase" localSheetId="1" hidden="1">QN!$A$1:$W$43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2" l="1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" i="22"/>
  <c r="T3" i="20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2" i="20"/>
  <c r="T2" i="23"/>
  <c r="T3" i="23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</calcChain>
</file>

<file path=xl/sharedStrings.xml><?xml version="1.0" encoding="utf-8"?>
<sst xmlns="http://schemas.openxmlformats.org/spreadsheetml/2006/main" count="303" uniqueCount="41">
  <si>
    <t>Ant</t>
  </si>
  <si>
    <t>Flu</t>
  </si>
  <si>
    <t>Pyr</t>
  </si>
  <si>
    <t>BaA</t>
  </si>
  <si>
    <t>Chr</t>
  </si>
  <si>
    <t>BbF</t>
  </si>
  <si>
    <t>BkF</t>
  </si>
  <si>
    <t>BaP</t>
  </si>
  <si>
    <t>Nap</t>
  </si>
  <si>
    <t>Acy</t>
  </si>
  <si>
    <t>Ace</t>
  </si>
  <si>
    <t>Phe</t>
  </si>
  <si>
    <t>Fla</t>
  </si>
  <si>
    <t>Ind</t>
  </si>
  <si>
    <t>DbA</t>
  </si>
  <si>
    <t>BPer</t>
  </si>
  <si>
    <t>TPAHs</t>
  </si>
  <si>
    <t>LMH/HMW</t>
  </si>
  <si>
    <t>CANPAHs</t>
  </si>
  <si>
    <t>COMPAHs</t>
  </si>
  <si>
    <t>PM</t>
  </si>
  <si>
    <t>Background</t>
  </si>
  <si>
    <t>Residential</t>
  </si>
  <si>
    <t>Traffic</t>
  </si>
  <si>
    <t>PM2.5</t>
  </si>
  <si>
    <t>PM10</t>
  </si>
  <si>
    <t>HP1307</t>
  </si>
  <si>
    <t>HP1407</t>
  </si>
  <si>
    <t>HP1507</t>
  </si>
  <si>
    <t>ID</t>
  </si>
  <si>
    <t>QN0607</t>
  </si>
  <si>
    <t>QN0207</t>
  </si>
  <si>
    <t>QN0307</t>
  </si>
  <si>
    <t>QN0407</t>
  </si>
  <si>
    <t>QN0507</t>
  </si>
  <si>
    <t>QN0707</t>
  </si>
  <si>
    <t>QN0807</t>
  </si>
  <si>
    <t>HY1007</t>
  </si>
  <si>
    <t>HY1107</t>
  </si>
  <si>
    <t>HY1207</t>
  </si>
  <si>
    <t>Sitetype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</si>
</sst>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164" fontId="3" fillId="0" borderId="0" xfId="3" applyNumberFormat="1" applyFont="1" applyFill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 wrapText="1"/>
    </xf>
    <xf numFmtId="2" fontId="3" fillId="6" borderId="0" xfId="0" applyNumberFormat="1" applyFont="1" applyFill="1" applyAlignment="1">
      <alignment horizontal="right" wrapText="1"/>
    </xf>
    <xf numFmtId="2" fontId="3" fillId="4" borderId="0" xfId="0" applyNumberFormat="1" applyFont="1" applyFill="1" applyAlignment="1">
      <alignment horizontal="right" wrapText="1"/>
    </xf>
    <xf numFmtId="2" fontId="3" fillId="2" borderId="0" xfId="0" applyNumberFormat="1" applyFont="1" applyFill="1" applyAlignment="1">
      <alignment horizontal="right" wrapText="1"/>
    </xf>
    <xf numFmtId="2" fontId="3" fillId="5" borderId="0" xfId="0" applyNumberFormat="1" applyFont="1" applyFill="1" applyAlignment="1">
      <alignment horizontal="right" wrapText="1"/>
    </xf>
    <xf numFmtId="2" fontId="3" fillId="7" borderId="0" xfId="0" applyNumberFormat="1" applyFont="1" applyFill="1" applyAlignment="1">
      <alignment horizontal="right" wrapText="1"/>
    </xf>
    <xf numFmtId="2" fontId="3" fillId="3" borderId="0" xfId="0" applyNumberFormat="1" applyFont="1" applyFill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2" fontId="5" fillId="6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3" applyNumberFormat="1" applyFont="1" applyFill="1" applyBorder="1"/>
    <xf numFmtId="2" fontId="3" fillId="0" borderId="1" xfId="0" applyNumberFormat="1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wrapText="1"/>
    </xf>
    <xf numFmtId="2" fontId="3" fillId="6" borderId="1" xfId="0" applyNumberFormat="1" applyFont="1" applyFill="1" applyBorder="1" applyAlignment="1">
      <alignment horizontal="right" wrapText="1"/>
    </xf>
    <xf numFmtId="2" fontId="3" fillId="7" borderId="1" xfId="0" applyNumberFormat="1" applyFont="1" applyFill="1" applyBorder="1" applyAlignment="1">
      <alignment horizontal="right" wrapText="1"/>
    </xf>
    <xf numFmtId="2" fontId="3" fillId="4" borderId="1" xfId="0" applyNumberFormat="1" applyFont="1" applyFill="1" applyBorder="1" applyAlignment="1">
      <alignment horizontal="right" wrapText="1"/>
    </xf>
    <xf numFmtId="2" fontId="3" fillId="3" borderId="1" xfId="0" applyNumberFormat="1" applyFont="1" applyFill="1" applyBorder="1" applyAlignment="1">
      <alignment horizontal="right" wrapText="1"/>
    </xf>
    <xf numFmtId="2" fontId="3" fillId="0" borderId="1" xfId="0" applyNumberFormat="1" applyFont="1" applyBorder="1"/>
    <xf numFmtId="2" fontId="3" fillId="5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3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wrapText="1"/>
    </xf>
    <xf numFmtId="2" fontId="4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6" sqref="A6"/>
      <selection pane="bottomRight" activeCell="F18" sqref="F18"/>
    </sheetView>
  </sheetViews>
  <sheetFormatPr defaultColWidth="8.85546875" defaultRowHeight="15" x14ac:dyDescent="0.25"/>
  <cols>
    <col min="1" max="1" width="7.85546875" style="1" bestFit="1" customWidth="1"/>
    <col min="2" max="2" width="13.140625" style="1" customWidth="1"/>
    <col min="3" max="3" width="9.42578125" style="1" customWidth="1"/>
    <col min="4" max="5" width="8.7109375" style="4" bestFit="1" customWidth="1"/>
    <col min="6" max="6" width="8.5703125" style="4" bestFit="1" customWidth="1"/>
    <col min="7" max="7" width="8" style="5" bestFit="1" customWidth="1"/>
    <col min="8" max="9" width="8.28515625" style="9" bestFit="1" customWidth="1"/>
    <col min="10" max="10" width="7.85546875" style="5" bestFit="1" customWidth="1"/>
    <col min="11" max="11" width="8.140625" style="5" bestFit="1" customWidth="1"/>
    <col min="12" max="12" width="8.28515625" style="6" bestFit="1" customWidth="1"/>
    <col min="13" max="13" width="9" style="6" bestFit="1" customWidth="1"/>
    <col min="14" max="15" width="8.7109375" style="4" bestFit="1" customWidth="1"/>
    <col min="16" max="16" width="8.5703125" style="10" bestFit="1" customWidth="1"/>
    <col min="17" max="17" width="7.85546875" style="4" bestFit="1" customWidth="1"/>
    <col min="18" max="18" width="9.28515625" style="4" bestFit="1" customWidth="1"/>
    <col min="19" max="19" width="9.28515625" style="10" bestFit="1" customWidth="1"/>
    <col min="20" max="20" width="13" style="18" customWidth="1"/>
    <col min="21" max="21" width="15" style="3" bestFit="1" customWidth="1"/>
    <col min="22" max="22" width="14.42578125" style="3" bestFit="1" customWidth="1"/>
    <col min="23" max="23" width="14.5703125" style="3" bestFit="1" customWidth="1"/>
    <col min="24" max="24" width="8.85546875" style="3"/>
    <col min="25" max="16384" width="8.85546875" style="1"/>
  </cols>
  <sheetData>
    <row r="1" spans="1:23" x14ac:dyDescent="0.25">
      <c r="A1" s="13" t="s">
        <v>29</v>
      </c>
      <c r="B1" s="13" t="s">
        <v>40</v>
      </c>
      <c r="C1" s="13" t="s">
        <v>20</v>
      </c>
      <c r="D1" s="19" t="s">
        <v>8</v>
      </c>
      <c r="E1" s="19" t="s">
        <v>9</v>
      </c>
      <c r="F1" s="19" t="s">
        <v>10</v>
      </c>
      <c r="G1" s="20" t="s">
        <v>1</v>
      </c>
      <c r="H1" s="21" t="s">
        <v>11</v>
      </c>
      <c r="I1" s="21" t="s">
        <v>0</v>
      </c>
      <c r="J1" s="20" t="s">
        <v>12</v>
      </c>
      <c r="K1" s="20" t="s">
        <v>2</v>
      </c>
      <c r="L1" s="22" t="s">
        <v>4</v>
      </c>
      <c r="M1" s="22" t="s">
        <v>3</v>
      </c>
      <c r="N1" s="19" t="s">
        <v>5</v>
      </c>
      <c r="O1" s="19" t="s">
        <v>6</v>
      </c>
      <c r="P1" s="23" t="s">
        <v>7</v>
      </c>
      <c r="Q1" s="19" t="s">
        <v>13</v>
      </c>
      <c r="R1" s="19" t="s">
        <v>14</v>
      </c>
      <c r="S1" s="23" t="s">
        <v>15</v>
      </c>
      <c r="T1" s="32" t="s">
        <v>16</v>
      </c>
      <c r="U1" s="33" t="s">
        <v>17</v>
      </c>
      <c r="V1" s="33" t="s">
        <v>18</v>
      </c>
      <c r="W1" s="33" t="s">
        <v>19</v>
      </c>
    </row>
    <row r="2" spans="1:23" ht="18.600000000000001" customHeight="1" x14ac:dyDescent="0.25">
      <c r="A2" s="12" t="s">
        <v>26</v>
      </c>
      <c r="B2" s="11" t="s">
        <v>21</v>
      </c>
      <c r="C2" s="11" t="s">
        <v>24</v>
      </c>
      <c r="D2" s="24">
        <v>1.8353858916700654E-2</v>
      </c>
      <c r="E2" s="24">
        <v>3.3107862658490653E-2</v>
      </c>
      <c r="F2" s="24">
        <v>3.5892739620949028E-2</v>
      </c>
      <c r="G2" s="24">
        <v>9.1908464087198702E-2</v>
      </c>
      <c r="H2" s="24">
        <v>0.37584396874127118</v>
      </c>
      <c r="I2" s="24">
        <v>3.1623922040667822E-2</v>
      </c>
      <c r="J2" s="24">
        <v>0.13191824347168238</v>
      </c>
      <c r="K2" s="24">
        <v>0.10751686431621442</v>
      </c>
      <c r="L2" s="24">
        <v>1.8197588693701919E-2</v>
      </c>
      <c r="M2" s="24">
        <v>3.5197081202054649E-2</v>
      </c>
      <c r="N2" s="24">
        <v>7.3954058041836551E-2</v>
      </c>
      <c r="O2" s="24">
        <v>5.686898556762067E-2</v>
      </c>
      <c r="P2" s="24">
        <v>4.8350318061674127E-2</v>
      </c>
      <c r="Q2" s="24">
        <v>0.14426262810283499</v>
      </c>
      <c r="R2" s="24">
        <v>4.3286572775326923E-2</v>
      </c>
      <c r="S2" s="24">
        <v>5.5320730047682058E-2</v>
      </c>
      <c r="T2" s="35">
        <f>SUM(D2:S2)</f>
        <v>1.3016038863459067</v>
      </c>
      <c r="U2" s="29"/>
      <c r="V2" s="29"/>
      <c r="W2" s="29"/>
    </row>
    <row r="3" spans="1:23" ht="18.600000000000001" customHeight="1" x14ac:dyDescent="0.25">
      <c r="A3" s="12" t="s">
        <v>26</v>
      </c>
      <c r="B3" s="11" t="s">
        <v>21</v>
      </c>
      <c r="C3" s="11" t="s">
        <v>25</v>
      </c>
      <c r="D3" s="24">
        <v>9.4003655830945068E-2</v>
      </c>
      <c r="E3" s="24">
        <v>9.4459208066969877E-2</v>
      </c>
      <c r="F3" s="24">
        <v>2.7127834986889469E-2</v>
      </c>
      <c r="G3" s="24">
        <v>0.25739369529955242</v>
      </c>
      <c r="H3" s="24">
        <v>0.73771029952024902</v>
      </c>
      <c r="I3" s="24">
        <v>3.7412792939078447E-2</v>
      </c>
      <c r="J3" s="24">
        <v>1.0076471442187902</v>
      </c>
      <c r="K3" s="24">
        <v>0.90209327262182215</v>
      </c>
      <c r="L3" s="24">
        <v>6.7839125170859424E-2</v>
      </c>
      <c r="M3" s="24">
        <v>0.14326379025811503</v>
      </c>
      <c r="N3" s="24">
        <v>0.13748586092354312</v>
      </c>
      <c r="O3" s="24">
        <v>8.0412246118920616E-2</v>
      </c>
      <c r="P3" s="24">
        <v>3.1022780531586282E-2</v>
      </c>
      <c r="Q3" s="24">
        <v>0.12557351452162263</v>
      </c>
      <c r="R3" s="24">
        <v>9.6197352617614237E-2</v>
      </c>
      <c r="S3" s="24">
        <v>4.4993155230727028E-2</v>
      </c>
      <c r="T3" s="35">
        <f t="shared" ref="T3:T19" si="0">SUM(D3:S3)</f>
        <v>3.8846357288572855</v>
      </c>
      <c r="U3" s="29"/>
      <c r="V3" s="29"/>
      <c r="W3" s="29"/>
    </row>
    <row r="4" spans="1:23" ht="18.600000000000001" customHeight="1" x14ac:dyDescent="0.25">
      <c r="A4" s="12" t="s">
        <v>26</v>
      </c>
      <c r="B4" s="12" t="s">
        <v>22</v>
      </c>
      <c r="C4" s="11" t="s">
        <v>24</v>
      </c>
      <c r="D4" s="24">
        <v>2.7516787234959459E-2</v>
      </c>
      <c r="E4" s="24">
        <v>9.6789402928627713E-2</v>
      </c>
      <c r="F4" s="24">
        <v>6.319166788421457E-2</v>
      </c>
      <c r="G4" s="24">
        <v>0.22084609851503997</v>
      </c>
      <c r="H4" s="24">
        <v>0.33322695226336296</v>
      </c>
      <c r="I4" s="24">
        <v>0.17689411961308443</v>
      </c>
      <c r="J4" s="24">
        <v>0.77005368173948108</v>
      </c>
      <c r="K4" s="24">
        <v>0.70157436680816432</v>
      </c>
      <c r="L4" s="24">
        <v>7.5818120162394656E-2</v>
      </c>
      <c r="M4" s="24">
        <v>0.10234873562656377</v>
      </c>
      <c r="N4" s="24">
        <v>0.11470546244954212</v>
      </c>
      <c r="O4" s="24">
        <v>8.5486139013349158E-2</v>
      </c>
      <c r="P4" s="24">
        <v>2.8319281876620809E-2</v>
      </c>
      <c r="Q4" s="24">
        <v>0.16739216861378778</v>
      </c>
      <c r="R4" s="24">
        <v>9.7045005192307979E-2</v>
      </c>
      <c r="S4" s="24">
        <v>3.6121533005893887E-2</v>
      </c>
      <c r="T4" s="35">
        <f t="shared" si="0"/>
        <v>3.0973295229273945</v>
      </c>
      <c r="U4" s="29"/>
      <c r="V4" s="29"/>
      <c r="W4" s="29"/>
    </row>
    <row r="5" spans="1:23" ht="18.600000000000001" customHeight="1" x14ac:dyDescent="0.25">
      <c r="A5" s="12" t="s">
        <v>26</v>
      </c>
      <c r="B5" s="12" t="s">
        <v>22</v>
      </c>
      <c r="C5" s="11" t="s">
        <v>25</v>
      </c>
      <c r="D5" s="24">
        <v>7.0812288075623772E-2</v>
      </c>
      <c r="E5" s="24">
        <v>0.11787542306764417</v>
      </c>
      <c r="F5" s="24">
        <v>5.1934365790729284E-2</v>
      </c>
      <c r="G5" s="24">
        <v>0.24259977381699016</v>
      </c>
      <c r="H5" s="24">
        <v>0.8132152266227276</v>
      </c>
      <c r="I5" s="24">
        <v>0.25356750045301518</v>
      </c>
      <c r="J5" s="24">
        <v>0.98441815202028116</v>
      </c>
      <c r="K5" s="24">
        <v>0.87086583494571568</v>
      </c>
      <c r="L5" s="24">
        <v>6.3097499549711389E-2</v>
      </c>
      <c r="M5" s="24">
        <v>0.13828568123292015</v>
      </c>
      <c r="N5" s="24">
        <v>0.19223134133560757</v>
      </c>
      <c r="O5" s="24">
        <v>0.15008817079283071</v>
      </c>
      <c r="P5" s="24">
        <v>2.9500726272100413E-2</v>
      </c>
      <c r="Q5" s="24">
        <v>0.20923445993340611</v>
      </c>
      <c r="R5" s="24">
        <v>8.6202694332537813E-2</v>
      </c>
      <c r="S5" s="24">
        <v>4.3485740377506507E-2</v>
      </c>
      <c r="T5" s="35">
        <f t="shared" si="0"/>
        <v>4.3174148786193474</v>
      </c>
      <c r="U5" s="29"/>
      <c r="V5" s="29"/>
      <c r="W5" s="29"/>
    </row>
    <row r="6" spans="1:23" ht="18.600000000000001" customHeight="1" x14ac:dyDescent="0.25">
      <c r="A6" s="12" t="s">
        <v>26</v>
      </c>
      <c r="B6" s="11" t="s">
        <v>23</v>
      </c>
      <c r="C6" s="11" t="s">
        <v>24</v>
      </c>
      <c r="D6" s="24">
        <v>8.9135225762315959E-2</v>
      </c>
      <c r="E6" s="24">
        <v>3.8348230441686476E-2</v>
      </c>
      <c r="F6" s="24">
        <v>4.9682992930075283E-2</v>
      </c>
      <c r="G6" s="24">
        <v>9.7495146796807194E-2</v>
      </c>
      <c r="H6" s="24">
        <v>0.36002216166300349</v>
      </c>
      <c r="I6" s="24">
        <v>4.2755698849873784E-2</v>
      </c>
      <c r="J6" s="24">
        <v>9.462152505826639E-2</v>
      </c>
      <c r="K6" s="24">
        <v>0.12174133668383542</v>
      </c>
      <c r="L6" s="24">
        <v>6.1575054617334098E-2</v>
      </c>
      <c r="M6" s="24">
        <v>0.10398206125370088</v>
      </c>
      <c r="N6" s="24">
        <v>0.33333160812157636</v>
      </c>
      <c r="O6" s="24">
        <v>0.15659261755172263</v>
      </c>
      <c r="P6" s="24">
        <v>9.8652174267026244E-2</v>
      </c>
      <c r="Q6" s="24">
        <v>0.27418866292311361</v>
      </c>
      <c r="R6" s="24">
        <v>7.6734435331091769E-2</v>
      </c>
      <c r="S6" s="24">
        <v>0.14541888895493255</v>
      </c>
      <c r="T6" s="35">
        <f t="shared" si="0"/>
        <v>2.1442778212063622</v>
      </c>
      <c r="U6" s="29"/>
      <c r="V6" s="29"/>
      <c r="W6" s="29"/>
    </row>
    <row r="7" spans="1:23" ht="18.600000000000001" customHeight="1" x14ac:dyDescent="0.25">
      <c r="A7" s="12" t="s">
        <v>26</v>
      </c>
      <c r="B7" s="11" t="s">
        <v>23</v>
      </c>
      <c r="C7" s="11" t="s">
        <v>25</v>
      </c>
      <c r="D7" s="24">
        <v>0.16300856100087388</v>
      </c>
      <c r="E7" s="24">
        <v>0.13134962738806416</v>
      </c>
      <c r="F7" s="24">
        <v>4.4319426960949981E-2</v>
      </c>
      <c r="G7" s="24">
        <v>0.3325557761917699</v>
      </c>
      <c r="H7" s="24">
        <v>1.7821375131123964</v>
      </c>
      <c r="I7" s="24">
        <v>0.33097369717180103</v>
      </c>
      <c r="J7" s="24">
        <v>1.1880149094581423</v>
      </c>
      <c r="K7" s="24">
        <v>1.077713700033859</v>
      </c>
      <c r="L7" s="24">
        <v>0.11309126694782053</v>
      </c>
      <c r="M7" s="24">
        <v>0.20801366876210847</v>
      </c>
      <c r="N7" s="24">
        <v>0.14850726716737078</v>
      </c>
      <c r="O7" s="24">
        <v>0.15857719753560021</v>
      </c>
      <c r="P7" s="24">
        <v>8.5862459706245051E-2</v>
      </c>
      <c r="Q7" s="24">
        <v>0.24711656877102006</v>
      </c>
      <c r="R7" s="24">
        <v>0.12298641157533224</v>
      </c>
      <c r="S7" s="24">
        <v>0.12436625102295054</v>
      </c>
      <c r="T7" s="35">
        <f t="shared" si="0"/>
        <v>6.2585943028063031</v>
      </c>
      <c r="U7" s="29"/>
      <c r="V7" s="29"/>
      <c r="W7" s="29"/>
    </row>
    <row r="8" spans="1:23" ht="18.600000000000001" customHeight="1" x14ac:dyDescent="0.25">
      <c r="A8" s="12" t="s">
        <v>27</v>
      </c>
      <c r="B8" s="11" t="s">
        <v>21</v>
      </c>
      <c r="C8" s="11" t="s">
        <v>24</v>
      </c>
      <c r="D8" s="24">
        <v>2.2238342522005426E-2</v>
      </c>
      <c r="E8" s="24">
        <v>3.0197481580252514E-2</v>
      </c>
      <c r="F8" s="24">
        <v>3.4453771497168682E-2</v>
      </c>
      <c r="G8" s="24">
        <v>8.4350806796650191E-2</v>
      </c>
      <c r="H8" s="24">
        <v>0.31684706986085331</v>
      </c>
      <c r="I8" s="24">
        <v>3.0545744129758242E-2</v>
      </c>
      <c r="J8" s="24">
        <v>0.15839697318837184</v>
      </c>
      <c r="K8" s="24">
        <v>0.12457685303808187</v>
      </c>
      <c r="L8" s="24">
        <v>5.379201201052617E-2</v>
      </c>
      <c r="M8" s="24">
        <v>6.9356192765651817E-2</v>
      </c>
      <c r="N8" s="24">
        <v>4.6615153120233635E-2</v>
      </c>
      <c r="O8" s="24">
        <v>4.1745927306833755E-2</v>
      </c>
      <c r="P8" s="24">
        <v>3.0545898895917339E-2</v>
      </c>
      <c r="Q8" s="24">
        <v>8.4852385888022741E-2</v>
      </c>
      <c r="R8" s="24">
        <v>3.794274240474891E-2</v>
      </c>
      <c r="S8" s="24">
        <v>3.4243129598687645E-2</v>
      </c>
      <c r="T8" s="35">
        <f t="shared" si="0"/>
        <v>1.2007004846037641</v>
      </c>
      <c r="U8" s="29"/>
      <c r="V8" s="29"/>
      <c r="W8" s="29"/>
    </row>
    <row r="9" spans="1:23" ht="18.600000000000001" customHeight="1" x14ac:dyDescent="0.25">
      <c r="A9" s="12" t="s">
        <v>27</v>
      </c>
      <c r="B9" s="11" t="s">
        <v>21</v>
      </c>
      <c r="C9" s="11" t="s">
        <v>25</v>
      </c>
      <c r="D9" s="24">
        <v>8.1066772243075208E-2</v>
      </c>
      <c r="E9" s="24">
        <v>6.5095838980856857E-2</v>
      </c>
      <c r="F9" s="24">
        <v>2.8662133569676253E-2</v>
      </c>
      <c r="G9" s="24">
        <v>0.21683328455961687</v>
      </c>
      <c r="H9" s="24">
        <v>0.61104261761637624</v>
      </c>
      <c r="I9" s="24">
        <v>0.2912033646541265</v>
      </c>
      <c r="J9" s="24">
        <v>0.86512772539866567</v>
      </c>
      <c r="K9" s="24">
        <v>0.83014287752550053</v>
      </c>
      <c r="L9" s="24">
        <v>6.2294390265318363E-2</v>
      </c>
      <c r="M9" s="24">
        <v>8.6529399854137823E-2</v>
      </c>
      <c r="N9" s="24">
        <v>9.8998107766611498E-2</v>
      </c>
      <c r="O9" s="24">
        <v>4.9074350259222341E-2</v>
      </c>
      <c r="P9" s="24">
        <v>3.0255886796802613E-2</v>
      </c>
      <c r="Q9" s="24">
        <v>9.4352432044406839E-2</v>
      </c>
      <c r="R9" s="24">
        <v>5.5207438382566608E-2</v>
      </c>
      <c r="S9" s="24">
        <v>3.8329497071439393E-2</v>
      </c>
      <c r="T9" s="35">
        <f t="shared" si="0"/>
        <v>3.504216116988399</v>
      </c>
      <c r="U9" s="29"/>
      <c r="V9" s="29"/>
      <c r="W9" s="29"/>
    </row>
    <row r="10" spans="1:23" ht="18.600000000000001" customHeight="1" x14ac:dyDescent="0.25">
      <c r="A10" s="12" t="s">
        <v>27</v>
      </c>
      <c r="B10" s="12" t="s">
        <v>22</v>
      </c>
      <c r="C10" s="11" t="s">
        <v>24</v>
      </c>
      <c r="D10" s="24">
        <v>2.1532725637688214E-2</v>
      </c>
      <c r="E10" s="24">
        <v>6.8881929195006977E-2</v>
      </c>
      <c r="F10" s="24">
        <v>4.9874942430270561E-2</v>
      </c>
      <c r="G10" s="24">
        <v>0.18921826685693854</v>
      </c>
      <c r="H10" s="24">
        <v>0.41318819137576568</v>
      </c>
      <c r="I10" s="24">
        <v>0.19770347629553475</v>
      </c>
      <c r="J10" s="24">
        <v>0.6310042241720466</v>
      </c>
      <c r="K10" s="24">
        <v>0.57630038644177495</v>
      </c>
      <c r="L10" s="24">
        <v>0.1102505752975045</v>
      </c>
      <c r="M10" s="24">
        <v>0.14255730137693223</v>
      </c>
      <c r="N10" s="24">
        <v>8.1580918155769663E-2</v>
      </c>
      <c r="O10" s="24">
        <v>7.381703509318005E-2</v>
      </c>
      <c r="P10" s="24">
        <v>5.7623426260030128E-2</v>
      </c>
      <c r="Q10" s="24">
        <v>0.14582532969246728</v>
      </c>
      <c r="R10" s="24">
        <v>6.0376321576641911E-2</v>
      </c>
      <c r="S10" s="24">
        <v>7.3011932167091509E-2</v>
      </c>
      <c r="T10" s="35">
        <f t="shared" si="0"/>
        <v>2.8927469820246436</v>
      </c>
      <c r="U10" s="29"/>
      <c r="V10" s="29"/>
      <c r="W10" s="29"/>
    </row>
    <row r="11" spans="1:23" ht="18.600000000000001" customHeight="1" x14ac:dyDescent="0.25">
      <c r="A11" s="12" t="s">
        <v>27</v>
      </c>
      <c r="B11" s="12" t="s">
        <v>22</v>
      </c>
      <c r="C11" s="11" t="s">
        <v>25</v>
      </c>
      <c r="D11" s="24">
        <v>4.9405816287454732E-2</v>
      </c>
      <c r="E11" s="24">
        <v>0.1015262737622178</v>
      </c>
      <c r="F11" s="24">
        <v>4.5944820346773003E-2</v>
      </c>
      <c r="G11" s="24">
        <v>0.27856969303570028</v>
      </c>
      <c r="H11" s="24">
        <v>0.8650116976459632</v>
      </c>
      <c r="I11" s="24">
        <v>0.21809531570003313</v>
      </c>
      <c r="J11" s="24">
        <v>0.83446258469252788</v>
      </c>
      <c r="K11" s="24">
        <v>0.79934358885180912</v>
      </c>
      <c r="L11" s="24">
        <v>9.3149080014105198E-2</v>
      </c>
      <c r="M11" s="24">
        <v>0.11075742320549155</v>
      </c>
      <c r="N11" s="24">
        <v>0.15547617657762025</v>
      </c>
      <c r="O11" s="24">
        <v>0.13239102224045005</v>
      </c>
      <c r="P11" s="24">
        <v>5.8326437484096556E-2</v>
      </c>
      <c r="Q11" s="24">
        <v>0.16070700901171156</v>
      </c>
      <c r="R11" s="24">
        <v>0.12053011405441653</v>
      </c>
      <c r="S11" s="24">
        <v>8.2107123730023171E-2</v>
      </c>
      <c r="T11" s="35">
        <f t="shared" si="0"/>
        <v>4.1058041766403939</v>
      </c>
      <c r="U11" s="29"/>
      <c r="V11" s="29"/>
      <c r="W11" s="29"/>
    </row>
    <row r="12" spans="1:23" ht="18.600000000000001" customHeight="1" x14ac:dyDescent="0.25">
      <c r="A12" s="12" t="s">
        <v>27</v>
      </c>
      <c r="B12" s="11" t="s">
        <v>23</v>
      </c>
      <c r="C12" s="11" t="s">
        <v>24</v>
      </c>
      <c r="D12" s="24">
        <v>7.5043181247499188E-2</v>
      </c>
      <c r="E12" s="24">
        <v>4.837939535192131E-2</v>
      </c>
      <c r="F12" s="24">
        <v>6.1534018876527583E-2</v>
      </c>
      <c r="G12" s="24">
        <v>0.11455147027386857</v>
      </c>
      <c r="H12" s="24">
        <v>0.99511514930464662</v>
      </c>
      <c r="I12" s="24">
        <v>0.10819200734587057</v>
      </c>
      <c r="J12" s="24">
        <v>0.33700431348189891</v>
      </c>
      <c r="K12" s="24">
        <v>0.3323453484201922</v>
      </c>
      <c r="L12" s="24">
        <v>4.685040468049935E-2</v>
      </c>
      <c r="M12" s="24">
        <v>6.977430769066767E-2</v>
      </c>
      <c r="N12" s="24">
        <v>0.11357303206324874</v>
      </c>
      <c r="O12" s="24">
        <v>9.6472754891585299E-2</v>
      </c>
      <c r="P12" s="24">
        <v>6.2265394543473566E-2</v>
      </c>
      <c r="Q12" s="24">
        <v>0.17474623929051755</v>
      </c>
      <c r="R12" s="24">
        <v>6.2697635316437239E-2</v>
      </c>
      <c r="S12" s="24">
        <v>0.10193571786499284</v>
      </c>
      <c r="T12" s="35">
        <f t="shared" si="0"/>
        <v>2.800480370643847</v>
      </c>
      <c r="U12" s="29"/>
      <c r="V12" s="29"/>
      <c r="W12" s="29"/>
    </row>
    <row r="13" spans="1:23" ht="18.600000000000001" customHeight="1" x14ac:dyDescent="0.25">
      <c r="A13" s="12" t="s">
        <v>27</v>
      </c>
      <c r="B13" s="11" t="s">
        <v>23</v>
      </c>
      <c r="C13" s="11" t="s">
        <v>25</v>
      </c>
      <c r="D13" s="24">
        <v>0.15599282989717705</v>
      </c>
      <c r="E13" s="24">
        <v>0.13811400340108376</v>
      </c>
      <c r="F13" s="24">
        <v>5.5659948531116867E-2</v>
      </c>
      <c r="G13" s="24">
        <v>0.30918431127173146</v>
      </c>
      <c r="H13" s="24">
        <v>1.6067653158621025</v>
      </c>
      <c r="I13" s="24">
        <v>0.31103426825679215</v>
      </c>
      <c r="J13" s="24">
        <v>1.1171960141567026</v>
      </c>
      <c r="K13" s="24">
        <v>1.0470288672191457</v>
      </c>
      <c r="L13" s="24">
        <v>0.13046787200305049</v>
      </c>
      <c r="M13" s="24">
        <v>0.21118377943442124</v>
      </c>
      <c r="N13" s="24">
        <v>0.18874264446988273</v>
      </c>
      <c r="O13" s="24">
        <v>0.17028785496750842</v>
      </c>
      <c r="P13" s="24">
        <v>9.1475742573373722E-2</v>
      </c>
      <c r="Q13" s="24">
        <v>0.20539645346248114</v>
      </c>
      <c r="R13" s="24">
        <v>0.11380929046777638</v>
      </c>
      <c r="S13" s="24">
        <v>0.13574082589905578</v>
      </c>
      <c r="T13" s="35">
        <f t="shared" si="0"/>
        <v>5.9880800218734018</v>
      </c>
      <c r="U13" s="29"/>
      <c r="V13" s="29"/>
      <c r="W13" s="29"/>
    </row>
    <row r="14" spans="1:23" ht="18.600000000000001" customHeight="1" x14ac:dyDescent="0.25">
      <c r="A14" s="12" t="s">
        <v>28</v>
      </c>
      <c r="B14" s="11" t="s">
        <v>21</v>
      </c>
      <c r="C14" s="11" t="s">
        <v>24</v>
      </c>
      <c r="D14" s="24">
        <v>2.3471110433344516E-2</v>
      </c>
      <c r="E14" s="24">
        <v>4.1790991924277897E-2</v>
      </c>
      <c r="F14" s="24">
        <v>3.0330569730456638E-2</v>
      </c>
      <c r="G14" s="24">
        <v>7.8200473227856157E-2</v>
      </c>
      <c r="H14" s="24">
        <v>0.35278274105844426</v>
      </c>
      <c r="I14" s="24">
        <v>7.3232863584517818E-2</v>
      </c>
      <c r="J14" s="24">
        <v>0.19509560209919824</v>
      </c>
      <c r="K14" s="24">
        <v>0.1661447823430045</v>
      </c>
      <c r="L14" s="24">
        <v>3.8099860362986564E-2</v>
      </c>
      <c r="M14" s="24">
        <v>4.6627054046671189E-2</v>
      </c>
      <c r="N14" s="24">
        <v>5.437205862548445E-2</v>
      </c>
      <c r="O14" s="24">
        <v>4.9984858552357833E-2</v>
      </c>
      <c r="P14" s="24">
        <v>3.4489682314084114E-2</v>
      </c>
      <c r="Q14" s="24">
        <v>4.9713764993573835E-2</v>
      </c>
      <c r="R14" s="24">
        <v>3.0226155192970172E-2</v>
      </c>
      <c r="S14" s="24">
        <v>3.5086146809851594E-2</v>
      </c>
      <c r="T14" s="35">
        <f t="shared" si="0"/>
        <v>1.2996487152990799</v>
      </c>
      <c r="U14" s="29"/>
      <c r="V14" s="29"/>
      <c r="W14" s="29"/>
    </row>
    <row r="15" spans="1:23" ht="18.600000000000001" customHeight="1" x14ac:dyDescent="0.25">
      <c r="A15" s="12" t="s">
        <v>28</v>
      </c>
      <c r="B15" s="11" t="s">
        <v>21</v>
      </c>
      <c r="C15" s="11" t="s">
        <v>25</v>
      </c>
      <c r="D15" s="24">
        <v>5.7964255389583441E-2</v>
      </c>
      <c r="E15" s="24">
        <v>7.3838266968091287E-2</v>
      </c>
      <c r="F15" s="24">
        <v>2.8741394356388023E-2</v>
      </c>
      <c r="G15" s="24">
        <v>0.20365115343718818</v>
      </c>
      <c r="H15" s="24">
        <v>0.62327266619581312</v>
      </c>
      <c r="I15" s="24">
        <v>0.2502094422004289</v>
      </c>
      <c r="J15" s="24">
        <v>0.68539952324041453</v>
      </c>
      <c r="K15" s="24">
        <v>0.63606031080869363</v>
      </c>
      <c r="L15" s="24">
        <v>6.1235636100505142E-2</v>
      </c>
      <c r="M15" s="24">
        <v>7.7606983411975194E-2</v>
      </c>
      <c r="N15" s="24">
        <v>8.5888176337389224E-2</v>
      </c>
      <c r="O15" s="24">
        <v>6.5155462586496585E-2</v>
      </c>
      <c r="P15" s="24">
        <v>3.6780350780803828E-2</v>
      </c>
      <c r="Q15" s="24">
        <v>7.38468910790962E-2</v>
      </c>
      <c r="R15" s="24">
        <v>4.2610089199152282E-2</v>
      </c>
      <c r="S15" s="24">
        <v>3.7591115970045781E-2</v>
      </c>
      <c r="T15" s="35">
        <f t="shared" si="0"/>
        <v>3.0398517180620654</v>
      </c>
      <c r="U15" s="29"/>
      <c r="V15" s="29"/>
      <c r="W15" s="29"/>
    </row>
    <row r="16" spans="1:23" ht="18.600000000000001" customHeight="1" x14ac:dyDescent="0.25">
      <c r="A16" s="12" t="s">
        <v>28</v>
      </c>
      <c r="B16" s="12" t="s">
        <v>22</v>
      </c>
      <c r="C16" s="11" t="s">
        <v>24</v>
      </c>
      <c r="D16" s="24">
        <v>2.6835927665078377E-2</v>
      </c>
      <c r="E16" s="24">
        <v>5.3862283899862376E-2</v>
      </c>
      <c r="F16" s="24">
        <v>4.6802169276101882E-2</v>
      </c>
      <c r="G16" s="24">
        <v>0.15069476964322143</v>
      </c>
      <c r="H16" s="24">
        <v>0.49979994911813996</v>
      </c>
      <c r="I16" s="24">
        <v>0.23313594032702312</v>
      </c>
      <c r="J16" s="24">
        <v>0.51157565851643683</v>
      </c>
      <c r="K16" s="24">
        <v>0.41850370744609072</v>
      </c>
      <c r="L16" s="24">
        <v>8.3292809380880337E-2</v>
      </c>
      <c r="M16" s="24">
        <v>9.9146762718437101E-2</v>
      </c>
      <c r="N16" s="24">
        <v>7.8160577477731488E-2</v>
      </c>
      <c r="O16" s="24">
        <v>6.1562628478778796E-2</v>
      </c>
      <c r="P16" s="24">
        <v>4.9929105209902069E-2</v>
      </c>
      <c r="Q16" s="24">
        <v>0.12080916147461637</v>
      </c>
      <c r="R16" s="24">
        <v>5.6862366841761318E-2</v>
      </c>
      <c r="S16" s="24">
        <v>6.325264164627302E-2</v>
      </c>
      <c r="T16" s="35">
        <f t="shared" si="0"/>
        <v>2.5542264591203345</v>
      </c>
      <c r="U16" s="29"/>
      <c r="V16" s="29"/>
      <c r="W16" s="29"/>
    </row>
    <row r="17" spans="1:23" ht="18.600000000000001" customHeight="1" x14ac:dyDescent="0.25">
      <c r="A17" s="12" t="s">
        <v>28</v>
      </c>
      <c r="B17" s="12" t="s">
        <v>22</v>
      </c>
      <c r="C17" s="11" t="s">
        <v>25</v>
      </c>
      <c r="D17" s="24">
        <v>5.6298424169129092E-2</v>
      </c>
      <c r="E17" s="24">
        <v>9.9086000596643825E-2</v>
      </c>
      <c r="F17" s="24">
        <v>4.5834122903485035E-2</v>
      </c>
      <c r="G17" s="24">
        <v>0.23363871947832751</v>
      </c>
      <c r="H17" s="24">
        <v>1.0160347280936215</v>
      </c>
      <c r="I17" s="24">
        <v>0.24382409728390733</v>
      </c>
      <c r="J17" s="24">
        <v>0.19172261483927863</v>
      </c>
      <c r="K17" s="24">
        <v>0.12647580030674835</v>
      </c>
      <c r="L17" s="24">
        <v>7.0053295384641848E-2</v>
      </c>
      <c r="M17" s="24">
        <v>9.8273564897390961E-2</v>
      </c>
      <c r="N17" s="24">
        <v>0.15147142695392565</v>
      </c>
      <c r="O17" s="24">
        <v>9.889878449062367E-2</v>
      </c>
      <c r="P17" s="24">
        <v>5.3527046140423286E-2</v>
      </c>
      <c r="Q17" s="24">
        <v>0.15105948974338179</v>
      </c>
      <c r="R17" s="24">
        <v>5.3416688408210018E-2</v>
      </c>
      <c r="S17" s="24">
        <v>7.3689128622948116E-2</v>
      </c>
      <c r="T17" s="35">
        <f t="shared" si="0"/>
        <v>2.7633039323126867</v>
      </c>
      <c r="U17" s="29"/>
      <c r="V17" s="29"/>
      <c r="W17" s="29"/>
    </row>
    <row r="18" spans="1:23" ht="18.600000000000001" customHeight="1" x14ac:dyDescent="0.25">
      <c r="A18" s="12" t="s">
        <v>28</v>
      </c>
      <c r="B18" s="11" t="s">
        <v>23</v>
      </c>
      <c r="C18" s="11" t="s">
        <v>24</v>
      </c>
      <c r="D18" s="24">
        <v>8.7265089591477982E-2</v>
      </c>
      <c r="E18" s="24">
        <v>6.1601091080598011E-2</v>
      </c>
      <c r="F18" s="24">
        <v>5.3850679271962028E-2</v>
      </c>
      <c r="G18" s="24">
        <v>0.15601678524237592</v>
      </c>
      <c r="H18" s="24">
        <v>0.97572055341650654</v>
      </c>
      <c r="I18" s="24">
        <v>0.12044158992125904</v>
      </c>
      <c r="J18" s="24">
        <v>0.2087517236981816</v>
      </c>
      <c r="K18" s="24">
        <v>0.25463288215247348</v>
      </c>
      <c r="L18" s="24">
        <v>6.7200324042511986E-2</v>
      </c>
      <c r="M18" s="24">
        <v>9.3344274109631073E-2</v>
      </c>
      <c r="N18" s="24">
        <v>9.8729586762393906E-2</v>
      </c>
      <c r="O18" s="24">
        <v>0.10472239323597461</v>
      </c>
      <c r="P18" s="24">
        <v>6.1213381856862224E-2</v>
      </c>
      <c r="Q18" s="24">
        <v>0.26480602467582343</v>
      </c>
      <c r="R18" s="24">
        <v>7.3216060888979875E-2</v>
      </c>
      <c r="S18" s="24">
        <v>9.7312383722596693E-2</v>
      </c>
      <c r="T18" s="35">
        <f t="shared" si="0"/>
        <v>2.7788248236696083</v>
      </c>
      <c r="U18" s="29"/>
      <c r="V18" s="29"/>
      <c r="W18" s="29"/>
    </row>
    <row r="19" spans="1:23" ht="18.600000000000001" customHeight="1" x14ac:dyDescent="0.25">
      <c r="A19" s="12" t="s">
        <v>28</v>
      </c>
      <c r="B19" s="11" t="s">
        <v>23</v>
      </c>
      <c r="C19" s="11" t="s">
        <v>25</v>
      </c>
      <c r="D19" s="24">
        <v>0.17160628314202611</v>
      </c>
      <c r="E19" s="24">
        <v>0.12943518006018509</v>
      </c>
      <c r="F19" s="24">
        <v>4.9538666620764643E-2</v>
      </c>
      <c r="G19" s="24">
        <v>0.32365219854190336</v>
      </c>
      <c r="H19" s="24">
        <v>1.5723151455599542</v>
      </c>
      <c r="I19" s="24">
        <v>0.35199871240012909</v>
      </c>
      <c r="J19" s="24">
        <v>1.0816880897673176</v>
      </c>
      <c r="K19" s="24">
        <v>1.0394123300462597</v>
      </c>
      <c r="L19" s="24">
        <v>0.12066589240152725</v>
      </c>
      <c r="M19" s="24">
        <v>0.16935305235534573</v>
      </c>
      <c r="N19" s="24">
        <v>0.1909034385818151</v>
      </c>
      <c r="O19" s="24">
        <v>0.1793036386163987</v>
      </c>
      <c r="P19" s="24">
        <v>9.2234743643038353E-2</v>
      </c>
      <c r="Q19" s="24">
        <v>0.22148212071285836</v>
      </c>
      <c r="R19" s="24">
        <v>0.12428860590793923</v>
      </c>
      <c r="S19" s="24">
        <v>0.15353776845344555</v>
      </c>
      <c r="T19" s="35">
        <f t="shared" si="0"/>
        <v>5.9714158668109079</v>
      </c>
      <c r="U19" s="29"/>
      <c r="V19" s="29"/>
      <c r="W19" s="29"/>
    </row>
    <row r="21" spans="1:23" x14ac:dyDescent="0.25">
      <c r="J21" s="14"/>
      <c r="L21" s="15"/>
      <c r="N21" s="16"/>
      <c r="O21" s="17"/>
      <c r="R21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"/>
  <sheetViews>
    <sheetView zoomScale="90" zoomScaleNormal="90" workbookViewId="0">
      <pane xSplit="3" ySplit="1" topLeftCell="D14" activePane="bottomRight" state="frozen"/>
      <selection pane="topRight" activeCell="B1" sqref="B1"/>
      <selection pane="bottomLeft" activeCell="A6" sqref="A6"/>
      <selection pane="bottomRight" activeCell="G16" sqref="G16"/>
    </sheetView>
  </sheetViews>
  <sheetFormatPr defaultColWidth="8.85546875" defaultRowHeight="15" x14ac:dyDescent="0.25"/>
  <cols>
    <col min="1" max="1" width="8.85546875" style="1"/>
    <col min="2" max="2" width="10.28515625" style="1" bestFit="1" customWidth="1"/>
    <col min="3" max="3" width="8.140625" style="1" bestFit="1" customWidth="1"/>
    <col min="4" max="6" width="4.42578125" style="4" bestFit="1" customWidth="1"/>
    <col min="7" max="7" width="4.42578125" style="5" bestFit="1" customWidth="1"/>
    <col min="8" max="9" width="4.42578125" style="8" bestFit="1" customWidth="1"/>
    <col min="10" max="11" width="4.42578125" style="5" bestFit="1" customWidth="1"/>
    <col min="12" max="13" width="4.42578125" style="6" bestFit="1" customWidth="1"/>
    <col min="14" max="15" width="4.42578125" style="4" bestFit="1" customWidth="1"/>
    <col min="16" max="16" width="4.42578125" style="7" bestFit="1" customWidth="1"/>
    <col min="17" max="17" width="4.42578125" style="4" bestFit="1" customWidth="1"/>
    <col min="18" max="18" width="4.7109375" style="4" bestFit="1" customWidth="1"/>
    <col min="19" max="19" width="4.7109375" style="7" bestFit="1" customWidth="1"/>
    <col min="20" max="20" width="6.85546875" style="18" bestFit="1" customWidth="1"/>
    <col min="21" max="21" width="10.42578125" style="3" bestFit="1" customWidth="1"/>
    <col min="22" max="22" width="9.85546875" style="3" bestFit="1" customWidth="1"/>
    <col min="23" max="23" width="10.140625" style="3" bestFit="1" customWidth="1"/>
    <col min="24" max="16384" width="8.85546875" style="1"/>
  </cols>
  <sheetData>
    <row r="1" spans="1:23" ht="30" x14ac:dyDescent="0.25">
      <c r="A1" s="13" t="s">
        <v>29</v>
      </c>
      <c r="B1" s="13" t="s">
        <v>40</v>
      </c>
      <c r="C1" s="13" t="s">
        <v>20</v>
      </c>
      <c r="D1" s="19" t="s">
        <v>8</v>
      </c>
      <c r="E1" s="19" t="s">
        <v>9</v>
      </c>
      <c r="F1" s="19" t="s">
        <v>10</v>
      </c>
      <c r="G1" s="20" t="s">
        <v>1</v>
      </c>
      <c r="H1" s="30" t="s">
        <v>11</v>
      </c>
      <c r="I1" s="30" t="s">
        <v>0</v>
      </c>
      <c r="J1" s="20" t="s">
        <v>12</v>
      </c>
      <c r="K1" s="20" t="s">
        <v>2</v>
      </c>
      <c r="L1" s="22" t="s">
        <v>4</v>
      </c>
      <c r="M1" s="22" t="s">
        <v>3</v>
      </c>
      <c r="N1" s="19" t="s">
        <v>5</v>
      </c>
      <c r="O1" s="19" t="s">
        <v>6</v>
      </c>
      <c r="P1" s="31" t="s">
        <v>7</v>
      </c>
      <c r="Q1" s="19" t="s">
        <v>13</v>
      </c>
      <c r="R1" s="19" t="s">
        <v>14</v>
      </c>
      <c r="S1" s="31" t="s">
        <v>15</v>
      </c>
      <c r="T1" s="32" t="s">
        <v>16</v>
      </c>
      <c r="U1" s="33" t="s">
        <v>17</v>
      </c>
      <c r="V1" s="33" t="s">
        <v>18</v>
      </c>
      <c r="W1" s="33" t="s">
        <v>19</v>
      </c>
    </row>
    <row r="2" spans="1:23" ht="18.600000000000001" customHeight="1" x14ac:dyDescent="0.25">
      <c r="A2" s="12" t="s">
        <v>31</v>
      </c>
      <c r="B2" s="11" t="s">
        <v>21</v>
      </c>
      <c r="C2" s="11" t="s">
        <v>24</v>
      </c>
      <c r="D2" s="24">
        <v>2.4945687158940785E-2</v>
      </c>
      <c r="E2" s="24">
        <v>2.6790778516451681E-2</v>
      </c>
      <c r="F2" s="24">
        <v>3.1229738888456711E-2</v>
      </c>
      <c r="G2" s="24">
        <v>4.7302910652711722E-2</v>
      </c>
      <c r="H2" s="34">
        <v>0.54013465160151009</v>
      </c>
      <c r="I2" s="34">
        <v>4.8064840355636546E-2</v>
      </c>
      <c r="J2" s="24">
        <v>0.10702693327560253</v>
      </c>
      <c r="K2" s="24">
        <v>8.187042228353951E-2</v>
      </c>
      <c r="L2" s="24">
        <v>6.8200046474228351E-2</v>
      </c>
      <c r="M2" s="24">
        <v>8.050237596552573E-2</v>
      </c>
      <c r="N2" s="24">
        <v>0.15595625115033451</v>
      </c>
      <c r="O2" s="24">
        <v>0.19129623965298709</v>
      </c>
      <c r="P2" s="24">
        <v>0.14879703270427122</v>
      </c>
      <c r="Q2" s="24">
        <v>0.45159251118135996</v>
      </c>
      <c r="R2" s="24">
        <v>0.58803765303524724</v>
      </c>
      <c r="S2" s="24">
        <v>0.30424875917197947</v>
      </c>
      <c r="T2" s="35">
        <f>SUM(D2:S2)</f>
        <v>2.895996832068783</v>
      </c>
      <c r="U2" s="29"/>
      <c r="V2" s="29"/>
      <c r="W2" s="29"/>
    </row>
    <row r="3" spans="1:23" ht="18.600000000000001" customHeight="1" x14ac:dyDescent="0.25">
      <c r="A3" s="12" t="s">
        <v>31</v>
      </c>
      <c r="B3" s="11" t="s">
        <v>21</v>
      </c>
      <c r="C3" s="11" t="s">
        <v>25</v>
      </c>
      <c r="D3" s="24">
        <v>3.9101319388411729E-2</v>
      </c>
      <c r="E3" s="24">
        <v>3.8722157278767391E-2</v>
      </c>
      <c r="F3" s="24">
        <v>4.1071172680108445E-2</v>
      </c>
      <c r="G3" s="24">
        <v>0.1035631447463313</v>
      </c>
      <c r="H3" s="34">
        <v>0.96522804384147842</v>
      </c>
      <c r="I3" s="34">
        <v>9.0726002540806788E-2</v>
      </c>
      <c r="J3" s="24">
        <v>0.33373188790888547</v>
      </c>
      <c r="K3" s="24">
        <v>0.2553299037852923</v>
      </c>
      <c r="L3" s="24">
        <v>0.19104811251940487</v>
      </c>
      <c r="M3" s="24">
        <v>0.22815634265461146</v>
      </c>
      <c r="N3" s="24">
        <v>0.39435452355748257</v>
      </c>
      <c r="O3" s="24">
        <v>0.37169741491983094</v>
      </c>
      <c r="P3" s="24">
        <v>0.25069682819977829</v>
      </c>
      <c r="Q3" s="24">
        <v>0.92139080282788188</v>
      </c>
      <c r="R3" s="24">
        <v>0.81733924088873322</v>
      </c>
      <c r="S3" s="24">
        <v>0.42500006475912905</v>
      </c>
      <c r="T3" s="35">
        <f t="shared" ref="T3:T43" si="0">SUM(D3:S3)</f>
        <v>5.4671569624969347</v>
      </c>
      <c r="U3" s="29"/>
      <c r="V3" s="29"/>
      <c r="W3" s="29"/>
    </row>
    <row r="4" spans="1:23" ht="18.600000000000001" customHeight="1" x14ac:dyDescent="0.25">
      <c r="A4" s="12" t="s">
        <v>31</v>
      </c>
      <c r="B4" s="12" t="s">
        <v>22</v>
      </c>
      <c r="C4" s="11" t="s">
        <v>24</v>
      </c>
      <c r="D4" s="24">
        <v>2.2647415468006169E-2</v>
      </c>
      <c r="E4" s="24">
        <v>2.2770161531539067E-2</v>
      </c>
      <c r="F4" s="24">
        <v>2.9771630998981911E-2</v>
      </c>
      <c r="G4" s="24">
        <v>5.6447203949245205E-2</v>
      </c>
      <c r="H4" s="34">
        <v>0.57963458287211844</v>
      </c>
      <c r="I4" s="34">
        <v>5.1570174792721218E-2</v>
      </c>
      <c r="J4" s="24">
        <v>7.0165140277393595E-2</v>
      </c>
      <c r="K4" s="24">
        <v>8.8723425694582858E-2</v>
      </c>
      <c r="L4" s="24">
        <v>8.2976078921268626E-2</v>
      </c>
      <c r="M4" s="24">
        <v>0.10811651981236606</v>
      </c>
      <c r="N4" s="24">
        <v>0.16764882047292326</v>
      </c>
      <c r="O4" s="24">
        <v>0.16302924136864738</v>
      </c>
      <c r="P4" s="24">
        <v>0.24121086414050052</v>
      </c>
      <c r="Q4" s="24">
        <v>0.47001388998003441</v>
      </c>
      <c r="R4" s="24">
        <v>0.50648377494613905</v>
      </c>
      <c r="S4" s="24">
        <v>0.40011274385389706</v>
      </c>
      <c r="T4" s="35">
        <f t="shared" si="0"/>
        <v>3.0613216690803648</v>
      </c>
      <c r="U4" s="29"/>
      <c r="V4" s="29"/>
      <c r="W4" s="29"/>
    </row>
    <row r="5" spans="1:23" ht="18.600000000000001" customHeight="1" x14ac:dyDescent="0.25">
      <c r="A5" s="12" t="s">
        <v>31</v>
      </c>
      <c r="B5" s="12" t="s">
        <v>22</v>
      </c>
      <c r="C5" s="11" t="s">
        <v>25</v>
      </c>
      <c r="D5" s="24">
        <v>3.7203419494646207E-2</v>
      </c>
      <c r="E5" s="24">
        <v>3.7607320787383033E-2</v>
      </c>
      <c r="F5" s="24">
        <v>4.3691349339467493E-2</v>
      </c>
      <c r="G5" s="24">
        <v>0.15831767678157893</v>
      </c>
      <c r="H5" s="34">
        <v>1.052570040237921</v>
      </c>
      <c r="I5" s="34">
        <v>0.10054217907810352</v>
      </c>
      <c r="J5" s="24">
        <v>0.31183580049433213</v>
      </c>
      <c r="K5" s="24">
        <v>0.30321675570039452</v>
      </c>
      <c r="L5" s="24">
        <v>0.16191480683591208</v>
      </c>
      <c r="M5" s="24">
        <v>0.20464444818952296</v>
      </c>
      <c r="N5" s="24">
        <v>0.3811558114419476</v>
      </c>
      <c r="O5" s="24">
        <v>0.41175403678122813</v>
      </c>
      <c r="P5" s="24">
        <v>0.79965060147684297</v>
      </c>
      <c r="Q5" s="24">
        <v>0.71161250453940261</v>
      </c>
      <c r="R5" s="24">
        <v>0.76449819375022621</v>
      </c>
      <c r="S5" s="24">
        <v>0.90964867597995325</v>
      </c>
      <c r="T5" s="35">
        <f t="shared" si="0"/>
        <v>6.3898636209088631</v>
      </c>
      <c r="U5" s="29"/>
      <c r="V5" s="29"/>
      <c r="W5" s="29"/>
    </row>
    <row r="6" spans="1:23" ht="18.600000000000001" customHeight="1" x14ac:dyDescent="0.25">
      <c r="A6" s="12" t="s">
        <v>31</v>
      </c>
      <c r="B6" s="11" t="s">
        <v>23</v>
      </c>
      <c r="C6" s="11" t="s">
        <v>24</v>
      </c>
      <c r="D6" s="24">
        <v>3.0158068743753468E-2</v>
      </c>
      <c r="E6" s="24">
        <v>2.7682085288701211E-2</v>
      </c>
      <c r="F6" s="24">
        <v>2.253351132148328E-2</v>
      </c>
      <c r="G6" s="24">
        <v>7.6449895759252068E-2</v>
      </c>
      <c r="H6" s="34">
        <v>0.93687977703541991</v>
      </c>
      <c r="I6" s="34">
        <v>9.786781417932687E-2</v>
      </c>
      <c r="J6" s="24">
        <v>0.1430227464615966</v>
      </c>
      <c r="K6" s="24">
        <v>0.13248451273402762</v>
      </c>
      <c r="L6" s="24">
        <v>0.23427309018737477</v>
      </c>
      <c r="M6" s="24">
        <v>0.31135772209990314</v>
      </c>
      <c r="N6" s="24">
        <v>0.57904105331617561</v>
      </c>
      <c r="O6" s="24">
        <v>0.46769401299504521</v>
      </c>
      <c r="P6" s="24">
        <v>0.39081381437564078</v>
      </c>
      <c r="Q6" s="24">
        <v>1.2367271479537991</v>
      </c>
      <c r="R6" s="24">
        <v>0.69295633432717685</v>
      </c>
      <c r="S6" s="24">
        <v>0.56718819147747546</v>
      </c>
      <c r="T6" s="35">
        <f t="shared" si="0"/>
        <v>5.9471297782561523</v>
      </c>
      <c r="U6" s="29"/>
      <c r="V6" s="29"/>
      <c r="W6" s="29"/>
    </row>
    <row r="7" spans="1:23" ht="18.600000000000001" customHeight="1" x14ac:dyDescent="0.25">
      <c r="A7" s="12" t="s">
        <v>31</v>
      </c>
      <c r="B7" s="11" t="s">
        <v>23</v>
      </c>
      <c r="C7" s="11" t="s">
        <v>25</v>
      </c>
      <c r="D7" s="24">
        <v>5.7883957303334711E-2</v>
      </c>
      <c r="E7" s="24">
        <v>5.3288591613260688E-2</v>
      </c>
      <c r="F7" s="24">
        <v>4.098251284191258E-2</v>
      </c>
      <c r="G7" s="24">
        <v>0.14845492654245171</v>
      </c>
      <c r="H7" s="34">
        <v>1.5452155482666605</v>
      </c>
      <c r="I7" s="34">
        <v>0.18460606716891553</v>
      </c>
      <c r="J7" s="24">
        <v>0.45073482215818061</v>
      </c>
      <c r="K7" s="24">
        <v>0.42579338619736407</v>
      </c>
      <c r="L7" s="24">
        <v>0.43634452547989094</v>
      </c>
      <c r="M7" s="24">
        <v>0.64974243732539305</v>
      </c>
      <c r="N7" s="24">
        <v>0.96518945587678739</v>
      </c>
      <c r="O7" s="24">
        <v>0.78155799145847193</v>
      </c>
      <c r="P7" s="24">
        <v>0.85626064368277166</v>
      </c>
      <c r="Q7" s="24">
        <v>2.03560382030079</v>
      </c>
      <c r="R7" s="24">
        <v>2.1138696325286435</v>
      </c>
      <c r="S7" s="24">
        <v>1.7499624336177688</v>
      </c>
      <c r="T7" s="35">
        <f t="shared" si="0"/>
        <v>12.495490752362597</v>
      </c>
      <c r="U7" s="29"/>
      <c r="V7" s="29"/>
      <c r="W7" s="29"/>
    </row>
    <row r="8" spans="1:23" ht="18.600000000000001" customHeight="1" x14ac:dyDescent="0.25">
      <c r="A8" s="12" t="s">
        <v>32</v>
      </c>
      <c r="B8" s="11" t="s">
        <v>21</v>
      </c>
      <c r="C8" s="11" t="s">
        <v>24</v>
      </c>
      <c r="D8" s="24">
        <v>2.387996449681291E-2</v>
      </c>
      <c r="E8" s="24">
        <v>2.2551332689341688E-2</v>
      </c>
      <c r="F8" s="24">
        <v>2.6727866846650364E-2</v>
      </c>
      <c r="G8" s="24">
        <v>5.4267094517576761E-2</v>
      </c>
      <c r="H8" s="34">
        <v>0.52076786599280567</v>
      </c>
      <c r="I8" s="34">
        <v>4.1669619859904118E-2</v>
      </c>
      <c r="J8" s="24">
        <v>0.16672277444095163</v>
      </c>
      <c r="K8" s="24">
        <v>0.15403823613236084</v>
      </c>
      <c r="L8" s="24">
        <v>6.1129153693124258E-2</v>
      </c>
      <c r="M8" s="24">
        <v>7.3643748773130832E-2</v>
      </c>
      <c r="N8" s="24">
        <v>0.11572038263120314</v>
      </c>
      <c r="O8" s="24">
        <v>0.17900769275763426</v>
      </c>
      <c r="P8" s="24">
        <v>3.6841637840016574E-2</v>
      </c>
      <c r="Q8" s="24">
        <v>0.22550420713147457</v>
      </c>
      <c r="R8" s="24">
        <v>0.3619732135907493</v>
      </c>
      <c r="S8" s="24">
        <v>0.10015998198292445</v>
      </c>
      <c r="T8" s="35">
        <f t="shared" si="0"/>
        <v>2.1646047733766611</v>
      </c>
      <c r="U8" s="29"/>
      <c r="V8" s="29"/>
      <c r="W8" s="29"/>
    </row>
    <row r="9" spans="1:23" ht="18.600000000000001" customHeight="1" x14ac:dyDescent="0.25">
      <c r="A9" s="12" t="s">
        <v>32</v>
      </c>
      <c r="B9" s="11" t="s">
        <v>21</v>
      </c>
      <c r="C9" s="11" t="s">
        <v>25</v>
      </c>
      <c r="D9" s="24">
        <v>4.0666819823789661E-2</v>
      </c>
      <c r="E9" s="24">
        <v>3.5208945040674414E-2</v>
      </c>
      <c r="F9" s="24">
        <v>4.9029399915633064E-2</v>
      </c>
      <c r="G9" s="24">
        <v>0.1238022591015534</v>
      </c>
      <c r="H9" s="34">
        <v>0.91683066933746582</v>
      </c>
      <c r="I9" s="34">
        <v>8.054557644588721E-2</v>
      </c>
      <c r="J9" s="24">
        <v>0.36453491788067677</v>
      </c>
      <c r="K9" s="24">
        <v>0.35517111772006205</v>
      </c>
      <c r="L9" s="24">
        <v>0.15348631366244328</v>
      </c>
      <c r="M9" s="24">
        <v>0.19997010421405523</v>
      </c>
      <c r="N9" s="24">
        <v>0.31057389029393806</v>
      </c>
      <c r="O9" s="24">
        <v>0.40802972053506381</v>
      </c>
      <c r="P9" s="24">
        <v>0.15459923200359107</v>
      </c>
      <c r="Q9" s="24">
        <v>0.50171580647265623</v>
      </c>
      <c r="R9" s="24">
        <v>0.78388569299913713</v>
      </c>
      <c r="S9" s="24">
        <v>0.42023192152182792</v>
      </c>
      <c r="T9" s="35">
        <f t="shared" si="0"/>
        <v>4.8982823869684546</v>
      </c>
      <c r="U9" s="29"/>
      <c r="V9" s="29"/>
      <c r="W9" s="29"/>
    </row>
    <row r="10" spans="1:23" ht="18.600000000000001" customHeight="1" x14ac:dyDescent="0.25">
      <c r="A10" s="12" t="s">
        <v>32</v>
      </c>
      <c r="B10" s="12" t="s">
        <v>22</v>
      </c>
      <c r="C10" s="11" t="s">
        <v>24</v>
      </c>
      <c r="D10" s="24">
        <v>2.6038991183953648E-2</v>
      </c>
      <c r="E10" s="24">
        <v>1.4579176470767292E-2</v>
      </c>
      <c r="F10" s="24">
        <v>2.9061595330155492E-2</v>
      </c>
      <c r="G10" s="24">
        <v>2.513636527591832E-2</v>
      </c>
      <c r="H10" s="34">
        <v>0.60096548824853691</v>
      </c>
      <c r="I10" s="34">
        <v>4.8825410749566145E-2</v>
      </c>
      <c r="J10" s="24">
        <v>0.13382459533090607</v>
      </c>
      <c r="K10" s="24">
        <v>8.9061276475395176E-2</v>
      </c>
      <c r="L10" s="24">
        <v>4.9021029767902798E-2</v>
      </c>
      <c r="M10" s="24">
        <v>5.9240066381688286E-2</v>
      </c>
      <c r="N10" s="24">
        <v>0.17900662985218826</v>
      </c>
      <c r="O10" s="24">
        <v>0.13918358190264848</v>
      </c>
      <c r="P10" s="24">
        <v>8.2715362157418273E-2</v>
      </c>
      <c r="Q10" s="24">
        <v>0.15879034573505668</v>
      </c>
      <c r="R10" s="24">
        <v>0.44118525876464615</v>
      </c>
      <c r="S10" s="24">
        <v>0.11226446049215372</v>
      </c>
      <c r="T10" s="35">
        <f t="shared" si="0"/>
        <v>2.188899634118902</v>
      </c>
      <c r="U10" s="29"/>
      <c r="V10" s="29"/>
      <c r="W10" s="29"/>
    </row>
    <row r="11" spans="1:23" ht="18.600000000000001" customHeight="1" x14ac:dyDescent="0.25">
      <c r="A11" s="12" t="s">
        <v>32</v>
      </c>
      <c r="B11" s="12" t="s">
        <v>22</v>
      </c>
      <c r="C11" s="11" t="s">
        <v>25</v>
      </c>
      <c r="D11" s="24">
        <v>3.7051769119194729E-2</v>
      </c>
      <c r="E11" s="24">
        <v>2.9233167611821393E-2</v>
      </c>
      <c r="F11" s="24">
        <v>4.5563804814077589E-2</v>
      </c>
      <c r="G11" s="24">
        <v>0.1610665209357405</v>
      </c>
      <c r="H11" s="34">
        <v>1.0824267061749162</v>
      </c>
      <c r="I11" s="34">
        <v>9.2729093307197474E-2</v>
      </c>
      <c r="J11" s="24">
        <v>0.37749388975915449</v>
      </c>
      <c r="K11" s="24">
        <v>0.32809080683802266</v>
      </c>
      <c r="L11" s="24">
        <v>0.17844046451521237</v>
      </c>
      <c r="M11" s="24">
        <v>0.22928225698628024</v>
      </c>
      <c r="N11" s="24">
        <v>0.39351976401278332</v>
      </c>
      <c r="O11" s="24">
        <v>0.3582092094820325</v>
      </c>
      <c r="P11" s="24">
        <v>0.48000855079493104</v>
      </c>
      <c r="Q11" s="24">
        <v>0.44707109577920467</v>
      </c>
      <c r="R11" s="24">
        <v>0.63442908225404993</v>
      </c>
      <c r="S11" s="24">
        <v>0.60831838932251525</v>
      </c>
      <c r="T11" s="35">
        <f t="shared" si="0"/>
        <v>5.4829345717071343</v>
      </c>
      <c r="U11" s="29"/>
      <c r="V11" s="29"/>
      <c r="W11" s="29"/>
    </row>
    <row r="12" spans="1:23" ht="18.600000000000001" customHeight="1" x14ac:dyDescent="0.25">
      <c r="A12" s="12" t="s">
        <v>32</v>
      </c>
      <c r="B12" s="11" t="s">
        <v>23</v>
      </c>
      <c r="C12" s="11" t="s">
        <v>24</v>
      </c>
      <c r="D12" s="24">
        <v>1.6243686399167241E-2</v>
      </c>
      <c r="E12" s="24">
        <v>1.5174038146767346E-2</v>
      </c>
      <c r="F12" s="24">
        <v>1.5154337858642066E-2</v>
      </c>
      <c r="G12" s="24">
        <v>8.6934300676280885E-2</v>
      </c>
      <c r="H12" s="34">
        <v>1.0030956845864416</v>
      </c>
      <c r="I12" s="34">
        <v>0.10253456859720347</v>
      </c>
      <c r="J12" s="24">
        <v>0.21835844531541324</v>
      </c>
      <c r="K12" s="24">
        <v>0.16015690381315145</v>
      </c>
      <c r="L12" s="24">
        <v>0.20890953809389118</v>
      </c>
      <c r="M12" s="24">
        <v>0.29122543847292992</v>
      </c>
      <c r="N12" s="24">
        <v>0.54452271987546819</v>
      </c>
      <c r="O12" s="24">
        <v>0.47490566499032477</v>
      </c>
      <c r="P12" s="24">
        <v>0.39003076758759514</v>
      </c>
      <c r="Q12" s="24">
        <v>1.690605038666344</v>
      </c>
      <c r="R12" s="24">
        <v>0.57413421046743673</v>
      </c>
      <c r="S12" s="24">
        <v>0.66214954609934895</v>
      </c>
      <c r="T12" s="35">
        <f t="shared" si="0"/>
        <v>6.454134889646407</v>
      </c>
      <c r="U12" s="29"/>
      <c r="V12" s="29"/>
      <c r="W12" s="29"/>
    </row>
    <row r="13" spans="1:23" ht="18.600000000000001" customHeight="1" x14ac:dyDescent="0.25">
      <c r="A13" s="12" t="s">
        <v>32</v>
      </c>
      <c r="B13" s="11" t="s">
        <v>23</v>
      </c>
      <c r="C13" s="11" t="s">
        <v>25</v>
      </c>
      <c r="D13" s="24">
        <v>5.3530070447783566E-2</v>
      </c>
      <c r="E13" s="24">
        <v>4.0836305131675944E-2</v>
      </c>
      <c r="F13" s="24">
        <v>4.7888536126726847E-2</v>
      </c>
      <c r="G13" s="24">
        <v>0.11396298013455394</v>
      </c>
      <c r="H13" s="34">
        <v>1.4473920221874645</v>
      </c>
      <c r="I13" s="34">
        <v>0.17271362865141637</v>
      </c>
      <c r="J13" s="24">
        <v>0.54033483862145204</v>
      </c>
      <c r="K13" s="24">
        <v>0.27866005940817395</v>
      </c>
      <c r="L13" s="24">
        <v>0.33236138545040089</v>
      </c>
      <c r="M13" s="24">
        <v>0.59469513765659843</v>
      </c>
      <c r="N13" s="24">
        <v>0.8664872710206375</v>
      </c>
      <c r="O13" s="24">
        <v>0.72129655778527491</v>
      </c>
      <c r="P13" s="24">
        <v>0.86901374935448716</v>
      </c>
      <c r="Q13" s="24">
        <v>2.3260265985475215</v>
      </c>
      <c r="R13" s="24">
        <v>2.2776251542109884</v>
      </c>
      <c r="S13" s="24">
        <v>1.7006978609404753</v>
      </c>
      <c r="T13" s="35">
        <f t="shared" si="0"/>
        <v>12.383522155675632</v>
      </c>
      <c r="U13" s="29"/>
      <c r="V13" s="29"/>
      <c r="W13" s="29"/>
    </row>
    <row r="14" spans="1:23" ht="18.600000000000001" customHeight="1" x14ac:dyDescent="0.25">
      <c r="A14" s="12" t="s">
        <v>33</v>
      </c>
      <c r="B14" s="11" t="s">
        <v>21</v>
      </c>
      <c r="C14" s="11" t="s">
        <v>24</v>
      </c>
      <c r="D14" s="24">
        <v>1.3170457447911448E-2</v>
      </c>
      <c r="E14" s="24">
        <v>2.6589047022542892E-2</v>
      </c>
      <c r="F14" s="24">
        <v>2.9785285351138037E-2</v>
      </c>
      <c r="G14" s="24">
        <v>6.8367825827103948E-2</v>
      </c>
      <c r="H14" s="34">
        <v>0.57181653842152447</v>
      </c>
      <c r="I14" s="34">
        <v>2.1772396564697972E-2</v>
      </c>
      <c r="J14" s="24">
        <v>4.1195773868684435E-2</v>
      </c>
      <c r="K14" s="24">
        <v>5.6938514049923547E-2</v>
      </c>
      <c r="L14" s="24">
        <v>4.2772550566478169E-2</v>
      </c>
      <c r="M14" s="24">
        <v>4.8403730980176009E-2</v>
      </c>
      <c r="N14" s="24">
        <v>0.13631032866413298</v>
      </c>
      <c r="O14" s="24">
        <v>3.2295802881632002E-2</v>
      </c>
      <c r="P14" s="24">
        <v>6.927674066005321E-3</v>
      </c>
      <c r="Q14" s="24">
        <v>0.36731204074720736</v>
      </c>
      <c r="R14" s="24">
        <v>2.6957570710748783E-2</v>
      </c>
      <c r="S14" s="24">
        <v>3.9891487743702277E-2</v>
      </c>
      <c r="T14" s="35">
        <f t="shared" si="0"/>
        <v>1.5305070249136099</v>
      </c>
      <c r="U14" s="29"/>
      <c r="V14" s="29"/>
      <c r="W14" s="29"/>
    </row>
    <row r="15" spans="1:23" ht="18.600000000000001" customHeight="1" x14ac:dyDescent="0.25">
      <c r="A15" s="12" t="s">
        <v>33</v>
      </c>
      <c r="B15" s="11" t="s">
        <v>21</v>
      </c>
      <c r="C15" s="11" t="s">
        <v>25</v>
      </c>
      <c r="D15" s="24">
        <v>4.1597696397099787E-2</v>
      </c>
      <c r="E15" s="24">
        <v>3.9970994265655591E-2</v>
      </c>
      <c r="F15" s="24">
        <v>5.3939550845824975E-2</v>
      </c>
      <c r="G15" s="24">
        <v>9.4114543619395113E-2</v>
      </c>
      <c r="H15" s="34">
        <v>1.0655909071902669</v>
      </c>
      <c r="I15" s="34">
        <v>9.2388186412759074E-2</v>
      </c>
      <c r="J15" s="24">
        <v>0.39767728234685151</v>
      </c>
      <c r="K15" s="24">
        <v>0.35525080434302764</v>
      </c>
      <c r="L15" s="24">
        <v>9.6457124317117851E-2</v>
      </c>
      <c r="M15" s="24">
        <v>0.15117988869214535</v>
      </c>
      <c r="N15" s="24">
        <v>0.22388117383344572</v>
      </c>
      <c r="O15" s="24">
        <v>0.22466941361241782</v>
      </c>
      <c r="P15" s="24">
        <v>0.19659435583155324</v>
      </c>
      <c r="Q15" s="24">
        <v>0.65522794091929593</v>
      </c>
      <c r="R15" s="24">
        <v>0.65067602513398659</v>
      </c>
      <c r="S15" s="24">
        <v>0.45659922793053298</v>
      </c>
      <c r="T15" s="35">
        <f t="shared" si="0"/>
        <v>4.7958151156913758</v>
      </c>
      <c r="U15" s="29"/>
      <c r="V15" s="29"/>
      <c r="W15" s="29"/>
    </row>
    <row r="16" spans="1:23" ht="18.600000000000001" customHeight="1" x14ac:dyDescent="0.25">
      <c r="A16" s="12" t="s">
        <v>33</v>
      </c>
      <c r="B16" s="12" t="s">
        <v>22</v>
      </c>
      <c r="C16" s="11" t="s">
        <v>24</v>
      </c>
      <c r="D16" s="24">
        <v>1.2788388797199297E-2</v>
      </c>
      <c r="E16" s="24">
        <v>8.3606100504219613E-2</v>
      </c>
      <c r="F16" s="24">
        <v>9.9491666097572456E-2</v>
      </c>
      <c r="G16" s="24">
        <v>0.20933174768067481</v>
      </c>
      <c r="H16" s="34">
        <v>0.60117634510577322</v>
      </c>
      <c r="I16" s="34">
        <v>6.7318130565616321E-2</v>
      </c>
      <c r="J16" s="24">
        <v>0.16065684136342767</v>
      </c>
      <c r="K16" s="24">
        <v>0.17621317431322531</v>
      </c>
      <c r="L16" s="24">
        <v>6.0677221652660693E-2</v>
      </c>
      <c r="M16" s="24">
        <v>0.11410912153377445</v>
      </c>
      <c r="N16" s="24">
        <v>5.7529903291367569E-2</v>
      </c>
      <c r="O16" s="24">
        <v>2.7757502785143259E-2</v>
      </c>
      <c r="P16" s="24">
        <v>3.8858927008872571E-2</v>
      </c>
      <c r="Q16" s="24">
        <v>0.10605835812686977</v>
      </c>
      <c r="R16" s="24">
        <v>8.5134047328397952E-2</v>
      </c>
      <c r="S16" s="24">
        <v>0.1161608209160423</v>
      </c>
      <c r="T16" s="35">
        <f t="shared" si="0"/>
        <v>2.0168682970708378</v>
      </c>
      <c r="U16" s="29"/>
      <c r="V16" s="29"/>
      <c r="W16" s="29"/>
    </row>
    <row r="17" spans="1:23" ht="18.600000000000001" customHeight="1" x14ac:dyDescent="0.25">
      <c r="A17" s="12" t="s">
        <v>33</v>
      </c>
      <c r="B17" s="12" t="s">
        <v>22</v>
      </c>
      <c r="C17" s="11" t="s">
        <v>25</v>
      </c>
      <c r="D17" s="24">
        <v>3.4383597691094468E-2</v>
      </c>
      <c r="E17" s="24">
        <v>3.2314227681654921E-2</v>
      </c>
      <c r="F17" s="24">
        <v>4.5292134051482094E-2</v>
      </c>
      <c r="G17" s="24">
        <v>9.6221361417330897E-2</v>
      </c>
      <c r="H17" s="34">
        <v>1.0812202910937858</v>
      </c>
      <c r="I17" s="34">
        <v>9.3325356752030977E-2</v>
      </c>
      <c r="J17" s="24">
        <v>0.42080204010202804</v>
      </c>
      <c r="K17" s="24">
        <v>0.37107067110428582</v>
      </c>
      <c r="L17" s="24">
        <v>9.5846524337620476E-2</v>
      </c>
      <c r="M17" s="24">
        <v>0.1718798334135003</v>
      </c>
      <c r="N17" s="24">
        <v>0.20870778657774575</v>
      </c>
      <c r="O17" s="24">
        <v>0.17874871219700228</v>
      </c>
      <c r="P17" s="24">
        <v>0.1610294269307963</v>
      </c>
      <c r="Q17" s="24">
        <v>0.57892335925625227</v>
      </c>
      <c r="R17" s="24">
        <v>0.5384391962376136</v>
      </c>
      <c r="S17" s="24">
        <v>0.41524166237015803</v>
      </c>
      <c r="T17" s="35">
        <f t="shared" si="0"/>
        <v>4.5234461812143811</v>
      </c>
      <c r="U17" s="29"/>
      <c r="V17" s="29"/>
      <c r="W17" s="29"/>
    </row>
    <row r="18" spans="1:23" ht="18.600000000000001" customHeight="1" x14ac:dyDescent="0.25">
      <c r="A18" s="12" t="s">
        <v>33</v>
      </c>
      <c r="B18" s="11" t="s">
        <v>23</v>
      </c>
      <c r="C18" s="11" t="s">
        <v>24</v>
      </c>
      <c r="D18" s="24">
        <v>1.635625075500035E-2</v>
      </c>
      <c r="E18" s="24">
        <v>1.969180386577957E-2</v>
      </c>
      <c r="F18" s="24">
        <v>1.5988400636759593E-2</v>
      </c>
      <c r="G18" s="24">
        <v>7.1088783373908143E-2</v>
      </c>
      <c r="H18" s="34">
        <v>0.73200093502162067</v>
      </c>
      <c r="I18" s="34">
        <v>7.731454145476005E-2</v>
      </c>
      <c r="J18" s="24">
        <v>0.26415115666628142</v>
      </c>
      <c r="K18" s="24">
        <v>0.27856841039859337</v>
      </c>
      <c r="L18" s="24">
        <v>0.19746088388972052</v>
      </c>
      <c r="M18" s="24">
        <v>0.22475076788681544</v>
      </c>
      <c r="N18" s="24">
        <v>0.62630560531622637</v>
      </c>
      <c r="O18" s="24">
        <v>0.4359273987751508</v>
      </c>
      <c r="P18" s="24">
        <v>0.28665499864969735</v>
      </c>
      <c r="Q18" s="24">
        <v>1.8080803750597176</v>
      </c>
      <c r="R18" s="24">
        <v>0.46869676391307769</v>
      </c>
      <c r="S18" s="24">
        <v>0.48758878740832362</v>
      </c>
      <c r="T18" s="35">
        <f t="shared" si="0"/>
        <v>6.0106258630714322</v>
      </c>
      <c r="U18" s="29"/>
      <c r="V18" s="29"/>
      <c r="W18" s="29"/>
    </row>
    <row r="19" spans="1:23" ht="18.600000000000001" customHeight="1" x14ac:dyDescent="0.25">
      <c r="A19" s="12" t="s">
        <v>33</v>
      </c>
      <c r="B19" s="11" t="s">
        <v>23</v>
      </c>
      <c r="C19" s="11" t="s">
        <v>25</v>
      </c>
      <c r="D19" s="24">
        <v>4.916676706740284E-2</v>
      </c>
      <c r="E19" s="24">
        <v>6.1709334381418249E-2</v>
      </c>
      <c r="F19" s="24">
        <v>5.7540523418054532E-2</v>
      </c>
      <c r="G19" s="24">
        <v>0.15144103440669965</v>
      </c>
      <c r="H19" s="34">
        <v>1.590150333397335</v>
      </c>
      <c r="I19" s="34">
        <v>0.18992992766591441</v>
      </c>
      <c r="J19" s="24">
        <v>0.54367555272070534</v>
      </c>
      <c r="K19" s="24">
        <v>0.41943944426021096</v>
      </c>
      <c r="L19" s="24">
        <v>0.48570043870845891</v>
      </c>
      <c r="M19" s="24">
        <v>0.58368525665315241</v>
      </c>
      <c r="N19" s="24">
        <v>1.0990555182691404</v>
      </c>
      <c r="O19" s="24">
        <v>0.64588113030155636</v>
      </c>
      <c r="P19" s="24">
        <v>0.73375136506901917</v>
      </c>
      <c r="Q19" s="24">
        <v>2.7284029662316298</v>
      </c>
      <c r="R19" s="24">
        <v>2.1777615756963149</v>
      </c>
      <c r="S19" s="24">
        <v>1.4391875780524039</v>
      </c>
      <c r="T19" s="35">
        <f t="shared" si="0"/>
        <v>12.956478746299418</v>
      </c>
      <c r="U19" s="29"/>
      <c r="V19" s="29"/>
      <c r="W19" s="29"/>
    </row>
    <row r="20" spans="1:23" ht="18.600000000000001" customHeight="1" x14ac:dyDescent="0.25">
      <c r="A20" s="12" t="s">
        <v>34</v>
      </c>
      <c r="B20" s="11" t="s">
        <v>21</v>
      </c>
      <c r="C20" s="11" t="s">
        <v>24</v>
      </c>
      <c r="D20" s="24">
        <v>1.6176471780963493E-2</v>
      </c>
      <c r="E20" s="24">
        <v>4.2122909176749775E-2</v>
      </c>
      <c r="F20" s="24">
        <v>3.1678935997428298E-2</v>
      </c>
      <c r="G20" s="24">
        <v>0.15431998047661394</v>
      </c>
      <c r="H20" s="34">
        <v>0.83065727761105901</v>
      </c>
      <c r="I20" s="34">
        <v>5.8016532895839301E-2</v>
      </c>
      <c r="J20" s="24">
        <v>0.32262475212535113</v>
      </c>
      <c r="K20" s="24">
        <v>0.57143539143634181</v>
      </c>
      <c r="L20" s="24">
        <v>0.10389342728308294</v>
      </c>
      <c r="M20" s="24">
        <v>0.1837614233186208</v>
      </c>
      <c r="N20" s="24">
        <v>0.16331244024258568</v>
      </c>
      <c r="O20" s="24">
        <v>0.15504552797395765</v>
      </c>
      <c r="P20" s="24">
        <v>0.10004822094579616</v>
      </c>
      <c r="Q20" s="24">
        <v>0.43376027796166333</v>
      </c>
      <c r="R20" s="24">
        <v>0.41688134545818262</v>
      </c>
      <c r="S20" s="24">
        <v>0.28685197031354526</v>
      </c>
      <c r="T20" s="35">
        <f t="shared" si="0"/>
        <v>3.8705868849977811</v>
      </c>
      <c r="U20" s="29"/>
      <c r="V20" s="29"/>
      <c r="W20" s="29"/>
    </row>
    <row r="21" spans="1:23" ht="18.600000000000001" customHeight="1" x14ac:dyDescent="0.25">
      <c r="A21" s="12" t="s">
        <v>34</v>
      </c>
      <c r="B21" s="11" t="s">
        <v>21</v>
      </c>
      <c r="C21" s="11" t="s">
        <v>25</v>
      </c>
      <c r="D21" s="24">
        <v>4.0730484031594863E-2</v>
      </c>
      <c r="E21" s="24">
        <v>2.7298351614709362E-2</v>
      </c>
      <c r="F21" s="24">
        <v>2.5070470732262862E-2</v>
      </c>
      <c r="G21" s="24">
        <v>8.5467571125414615E-2</v>
      </c>
      <c r="H21" s="34">
        <v>1.9910504757508929</v>
      </c>
      <c r="I21" s="34">
        <v>0.20113114605435597</v>
      </c>
      <c r="J21" s="24">
        <v>0.70349671731137153</v>
      </c>
      <c r="K21" s="24">
        <v>0.62024366308589118</v>
      </c>
      <c r="L21" s="24">
        <v>0.11753184132214579</v>
      </c>
      <c r="M21" s="24">
        <v>0.24252055626074528</v>
      </c>
      <c r="N21" s="24">
        <v>0.40221785130735632</v>
      </c>
      <c r="O21" s="24">
        <v>0.39457118224757914</v>
      </c>
      <c r="P21" s="24">
        <v>0.36110841940536109</v>
      </c>
      <c r="Q21" s="24">
        <v>1.2086589736385043</v>
      </c>
      <c r="R21" s="24">
        <v>1.1694034360303673</v>
      </c>
      <c r="S21" s="24">
        <v>0.75735348058953045</v>
      </c>
      <c r="T21" s="35">
        <f t="shared" si="0"/>
        <v>8.3478546205080821</v>
      </c>
      <c r="U21" s="29"/>
      <c r="V21" s="29"/>
      <c r="W21" s="29"/>
    </row>
    <row r="22" spans="1:23" ht="18.600000000000001" customHeight="1" x14ac:dyDescent="0.25">
      <c r="A22" s="12" t="s">
        <v>34</v>
      </c>
      <c r="B22" s="12" t="s">
        <v>22</v>
      </c>
      <c r="C22" s="11" t="s">
        <v>24</v>
      </c>
      <c r="D22" s="24">
        <v>9.7428318545029671E-3</v>
      </c>
      <c r="E22" s="24">
        <v>4.0819005158017792E-2</v>
      </c>
      <c r="F22" s="24">
        <v>2.5774389576425704E-2</v>
      </c>
      <c r="G22" s="24">
        <v>0.15350634265767399</v>
      </c>
      <c r="H22" s="34">
        <v>1.0153412005779623</v>
      </c>
      <c r="I22" s="34">
        <v>8.9223161414805074E-2</v>
      </c>
      <c r="J22" s="24">
        <v>0.30014029644891416</v>
      </c>
      <c r="K22" s="24">
        <v>0.46812846232680444</v>
      </c>
      <c r="L22" s="24">
        <v>9.7837662338221276E-2</v>
      </c>
      <c r="M22" s="24">
        <v>0.16698965576384786</v>
      </c>
      <c r="N22" s="24">
        <v>0.17176173975195913</v>
      </c>
      <c r="O22" s="24">
        <v>0.15377564808497024</v>
      </c>
      <c r="P22" s="24">
        <v>0.13406976780969437</v>
      </c>
      <c r="Q22" s="24">
        <v>0.5244565735071306</v>
      </c>
      <c r="R22" s="24">
        <v>0.49248377450399361</v>
      </c>
      <c r="S22" s="24">
        <v>0.33822545891993411</v>
      </c>
      <c r="T22" s="35">
        <f t="shared" si="0"/>
        <v>4.1822759706948576</v>
      </c>
      <c r="U22" s="29"/>
      <c r="V22" s="29"/>
      <c r="W22" s="29"/>
    </row>
    <row r="23" spans="1:23" ht="18.600000000000001" customHeight="1" x14ac:dyDescent="0.25">
      <c r="A23" s="12" t="s">
        <v>34</v>
      </c>
      <c r="B23" s="12" t="s">
        <v>22</v>
      </c>
      <c r="C23" s="11" t="s">
        <v>25</v>
      </c>
      <c r="D23" s="24">
        <v>2.9510019242137118E-2</v>
      </c>
      <c r="E23" s="24">
        <v>6.6631152017657291E-2</v>
      </c>
      <c r="F23" s="24">
        <v>3.3701372412392905E-2</v>
      </c>
      <c r="G23" s="24">
        <v>0.11330771269653726</v>
      </c>
      <c r="H23" s="34">
        <v>1.594274799605538</v>
      </c>
      <c r="I23" s="34">
        <v>0.16093036584057019</v>
      </c>
      <c r="J23" s="24">
        <v>0.55293689241127231</v>
      </c>
      <c r="K23" s="24">
        <v>0.45268094937942477</v>
      </c>
      <c r="L23" s="24">
        <v>0.10012949447758718</v>
      </c>
      <c r="M23" s="24">
        <v>0.14800292137408955</v>
      </c>
      <c r="N23" s="24">
        <v>0.21605192624179742</v>
      </c>
      <c r="O23" s="24">
        <v>0.19133151471601212</v>
      </c>
      <c r="P23" s="24">
        <v>0.18387841429871193</v>
      </c>
      <c r="Q23" s="24">
        <v>0.66814208756612958</v>
      </c>
      <c r="R23" s="24">
        <v>0.6611080062588367</v>
      </c>
      <c r="S23" s="24">
        <v>0.40865859212690819</v>
      </c>
      <c r="T23" s="35">
        <f t="shared" si="0"/>
        <v>5.5812762206656021</v>
      </c>
      <c r="U23" s="29"/>
      <c r="V23" s="29"/>
      <c r="W23" s="29"/>
    </row>
    <row r="24" spans="1:23" ht="18.600000000000001" customHeight="1" x14ac:dyDescent="0.25">
      <c r="A24" s="12" t="s">
        <v>34</v>
      </c>
      <c r="B24" s="11" t="s">
        <v>23</v>
      </c>
      <c r="C24" s="11" t="s">
        <v>24</v>
      </c>
      <c r="D24" s="24">
        <v>1.3826968663075824E-2</v>
      </c>
      <c r="E24" s="24">
        <v>5.2496861444375244E-2</v>
      </c>
      <c r="F24" s="24">
        <v>2.8449651454579016E-2</v>
      </c>
      <c r="G24" s="24">
        <v>0.10026264508046163</v>
      </c>
      <c r="H24" s="34">
        <v>1.0488356294940999</v>
      </c>
      <c r="I24" s="34">
        <v>9.0855043800099219E-2</v>
      </c>
      <c r="J24" s="24">
        <v>0.35723870210285902</v>
      </c>
      <c r="K24" s="24">
        <v>0.3487488168629691</v>
      </c>
      <c r="L24" s="24">
        <v>0.16364020587494488</v>
      </c>
      <c r="M24" s="24">
        <v>0.17991315992112061</v>
      </c>
      <c r="N24" s="24">
        <v>0.54413660644807438</v>
      </c>
      <c r="O24" s="24">
        <v>0.56101368988334577</v>
      </c>
      <c r="P24" s="24">
        <v>0.55786526397609359</v>
      </c>
      <c r="Q24" s="24">
        <v>1.9459100143569958</v>
      </c>
      <c r="R24" s="24">
        <v>0.53506290247787547</v>
      </c>
      <c r="S24" s="24">
        <v>0.37337530400506624</v>
      </c>
      <c r="T24" s="35">
        <f t="shared" si="0"/>
        <v>6.9016314658460356</v>
      </c>
      <c r="U24" s="29"/>
      <c r="V24" s="29"/>
      <c r="W24" s="29"/>
    </row>
    <row r="25" spans="1:23" ht="18.600000000000001" customHeight="1" x14ac:dyDescent="0.25">
      <c r="A25" s="12" t="s">
        <v>34</v>
      </c>
      <c r="B25" s="11" t="s">
        <v>23</v>
      </c>
      <c r="C25" s="11" t="s">
        <v>25</v>
      </c>
      <c r="D25" s="24">
        <v>5.0038343989768766E-2</v>
      </c>
      <c r="E25" s="24">
        <v>4.9170770148914723E-2</v>
      </c>
      <c r="F25" s="24">
        <v>4.0893112013873828E-2</v>
      </c>
      <c r="G25" s="24">
        <v>0.14643626624321268</v>
      </c>
      <c r="H25" s="34">
        <v>1.6727441280083477</v>
      </c>
      <c r="I25" s="34">
        <v>0.17311416297350599</v>
      </c>
      <c r="J25" s="24">
        <v>0.52852550756271721</v>
      </c>
      <c r="K25" s="24">
        <v>0.47438096400029062</v>
      </c>
      <c r="L25" s="24">
        <v>0.35191801820856317</v>
      </c>
      <c r="M25" s="24">
        <v>0.4294378792852388</v>
      </c>
      <c r="N25" s="24">
        <v>1.078112008037903</v>
      </c>
      <c r="O25" s="24">
        <v>0.76720138987582831</v>
      </c>
      <c r="P25" s="24">
        <v>0.74303777578710306</v>
      </c>
      <c r="Q25" s="24">
        <v>2.8051891664967186</v>
      </c>
      <c r="R25" s="24">
        <v>2.3961375218156125</v>
      </c>
      <c r="S25" s="24">
        <v>1.5082306992768482</v>
      </c>
      <c r="T25" s="35">
        <f t="shared" si="0"/>
        <v>13.214567713724449</v>
      </c>
      <c r="U25" s="29"/>
      <c r="V25" s="29"/>
      <c r="W25" s="29"/>
    </row>
    <row r="26" spans="1:23" ht="18.600000000000001" customHeight="1" x14ac:dyDescent="0.25">
      <c r="A26" s="12" t="s">
        <v>30</v>
      </c>
      <c r="B26" s="11" t="s">
        <v>21</v>
      </c>
      <c r="C26" s="11" t="s">
        <v>24</v>
      </c>
      <c r="D26" s="24">
        <v>1.6078432450700599E-2</v>
      </c>
      <c r="E26" s="24">
        <v>3.2864237747790369E-2</v>
      </c>
      <c r="F26" s="24">
        <v>3.8836886289141989E-2</v>
      </c>
      <c r="G26" s="24">
        <v>7.4923605597146031E-2</v>
      </c>
      <c r="H26" s="34">
        <v>0.50029851496482802</v>
      </c>
      <c r="I26" s="34">
        <v>4.0381225972560705E-2</v>
      </c>
      <c r="J26" s="24">
        <v>0.23817583750651264</v>
      </c>
      <c r="K26" s="24">
        <v>0.16831495762886473</v>
      </c>
      <c r="L26" s="24">
        <v>6.7779789237708415E-2</v>
      </c>
      <c r="M26" s="24">
        <v>8.757652373345963E-2</v>
      </c>
      <c r="N26" s="24">
        <v>0.17430598814304893</v>
      </c>
      <c r="O26" s="24">
        <v>0.16417284610056754</v>
      </c>
      <c r="P26" s="24">
        <v>0.24484533248217608</v>
      </c>
      <c r="Q26" s="24">
        <v>0.67474245900870666</v>
      </c>
      <c r="R26" s="24">
        <v>0.34542571660842503</v>
      </c>
      <c r="S26" s="24">
        <v>0.55914752294678327</v>
      </c>
      <c r="T26" s="35">
        <f t="shared" si="0"/>
        <v>3.4278698764184208</v>
      </c>
      <c r="U26" s="29"/>
      <c r="V26" s="29"/>
      <c r="W26" s="29"/>
    </row>
    <row r="27" spans="1:23" ht="18.600000000000001" customHeight="1" x14ac:dyDescent="0.25">
      <c r="A27" s="12" t="s">
        <v>30</v>
      </c>
      <c r="B27" s="11" t="s">
        <v>21</v>
      </c>
      <c r="C27" s="11" t="s">
        <v>25</v>
      </c>
      <c r="D27" s="24">
        <v>3.7431431915829219E-2</v>
      </c>
      <c r="E27" s="24">
        <v>5.1905842250423773E-2</v>
      </c>
      <c r="F27" s="24">
        <v>4.1090642423767712E-2</v>
      </c>
      <c r="G27" s="24">
        <v>0.24996821113550494</v>
      </c>
      <c r="H27" s="34">
        <v>0.92606617584996154</v>
      </c>
      <c r="I27" s="34">
        <v>7.8953234707097739E-2</v>
      </c>
      <c r="J27" s="24">
        <v>0.47667805882504038</v>
      </c>
      <c r="K27" s="24">
        <v>0.30716036372898475</v>
      </c>
      <c r="L27" s="24">
        <v>0.17225368965100063</v>
      </c>
      <c r="M27" s="24">
        <v>0.22209770630317274</v>
      </c>
      <c r="N27" s="24">
        <v>0.29438903010463735</v>
      </c>
      <c r="O27" s="24">
        <v>0.36630260731007586</v>
      </c>
      <c r="P27" s="24">
        <v>0.34738053887127734</v>
      </c>
      <c r="Q27" s="24">
        <v>0.94175920323070506</v>
      </c>
      <c r="R27" s="24">
        <v>0.84825650746946213</v>
      </c>
      <c r="S27" s="24">
        <v>0.7267043864344207</v>
      </c>
      <c r="T27" s="35">
        <f t="shared" si="0"/>
        <v>6.0883976302113609</v>
      </c>
      <c r="U27" s="29"/>
      <c r="V27" s="29"/>
      <c r="W27" s="29"/>
    </row>
    <row r="28" spans="1:23" ht="18.600000000000001" customHeight="1" x14ac:dyDescent="0.25">
      <c r="A28" s="12" t="s">
        <v>30</v>
      </c>
      <c r="B28" s="12" t="s">
        <v>22</v>
      </c>
      <c r="C28" s="11" t="s">
        <v>24</v>
      </c>
      <c r="D28" s="24">
        <v>7.0233698535790756E-2</v>
      </c>
      <c r="E28" s="24">
        <v>2.5663646036497453E-2</v>
      </c>
      <c r="F28" s="24">
        <v>1.5018494240179743E-2</v>
      </c>
      <c r="G28" s="24">
        <v>7.8737060695912089E-2</v>
      </c>
      <c r="H28" s="34">
        <v>0.53515372812946083</v>
      </c>
      <c r="I28" s="34">
        <v>0.11783879348580217</v>
      </c>
      <c r="J28" s="24">
        <v>0.30172259151220404</v>
      </c>
      <c r="K28" s="24">
        <v>0.26329925400180881</v>
      </c>
      <c r="L28" s="24">
        <v>0.10960588224089103</v>
      </c>
      <c r="M28" s="24">
        <v>0.17638574893214071</v>
      </c>
      <c r="N28" s="24">
        <v>0.32020125344063888</v>
      </c>
      <c r="O28" s="24">
        <v>0.3100896405455757</v>
      </c>
      <c r="P28" s="24">
        <v>0.26755856172261738</v>
      </c>
      <c r="Q28" s="24">
        <v>0.85871240561996953</v>
      </c>
      <c r="R28" s="24">
        <v>0.85921644484442761</v>
      </c>
      <c r="S28" s="24">
        <v>0.57917739996405504</v>
      </c>
      <c r="T28" s="35">
        <f t="shared" si="0"/>
        <v>4.8886146039479721</v>
      </c>
      <c r="U28" s="29"/>
      <c r="V28" s="29"/>
      <c r="W28" s="29"/>
    </row>
    <row r="29" spans="1:23" ht="18.600000000000001" customHeight="1" x14ac:dyDescent="0.25">
      <c r="A29" s="12" t="s">
        <v>30</v>
      </c>
      <c r="B29" s="12" t="s">
        <v>22</v>
      </c>
      <c r="C29" s="11" t="s">
        <v>25</v>
      </c>
      <c r="D29" s="24">
        <v>0.48818588957916242</v>
      </c>
      <c r="E29" s="24">
        <v>2.847084428745001E-2</v>
      </c>
      <c r="F29" s="24">
        <v>1.1756266266959961E-2</v>
      </c>
      <c r="G29" s="24">
        <v>7.7544618143466443E-2</v>
      </c>
      <c r="H29" s="34">
        <v>0.9140939882279252</v>
      </c>
      <c r="I29" s="34">
        <v>9.2610266142725051E-2</v>
      </c>
      <c r="J29" s="24">
        <v>0.54981857484576069</v>
      </c>
      <c r="K29" s="24">
        <v>0.36755051211964151</v>
      </c>
      <c r="L29" s="24">
        <v>0.20277061124218296</v>
      </c>
      <c r="M29" s="24">
        <v>0.26871688455494414</v>
      </c>
      <c r="N29" s="24">
        <v>0.4452893026977166</v>
      </c>
      <c r="O29" s="24">
        <v>0.3539386182342949</v>
      </c>
      <c r="P29" s="24">
        <v>0.29815539157926169</v>
      </c>
      <c r="Q29" s="24">
        <v>1.2931418249784674</v>
      </c>
      <c r="R29" s="24">
        <v>1.2872946779782517</v>
      </c>
      <c r="S29" s="24">
        <v>0.92043829620110607</v>
      </c>
      <c r="T29" s="35">
        <f t="shared" si="0"/>
        <v>7.5997765670793154</v>
      </c>
      <c r="U29" s="29"/>
      <c r="V29" s="29"/>
      <c r="W29" s="29"/>
    </row>
    <row r="30" spans="1:23" ht="18.600000000000001" customHeight="1" x14ac:dyDescent="0.25">
      <c r="A30" s="12" t="s">
        <v>30</v>
      </c>
      <c r="B30" s="11" t="s">
        <v>23</v>
      </c>
      <c r="C30" s="11" t="s">
        <v>24</v>
      </c>
      <c r="D30" s="24">
        <v>2.3840095801871686E-2</v>
      </c>
      <c r="E30" s="24">
        <v>1.5810056710990693E-2</v>
      </c>
      <c r="F30" s="24">
        <v>3.404138162181648E-3</v>
      </c>
      <c r="G30" s="24">
        <v>2.4266202531741932E-2</v>
      </c>
      <c r="H30" s="34">
        <v>0.38587154610424068</v>
      </c>
      <c r="I30" s="34">
        <v>4.6935392208829203E-2</v>
      </c>
      <c r="J30" s="24">
        <v>0.19625447192480142</v>
      </c>
      <c r="K30" s="24">
        <v>0.15424523782950755</v>
      </c>
      <c r="L30" s="24">
        <v>9.7472030349135791E-2</v>
      </c>
      <c r="M30" s="24">
        <v>0.13669466749027614</v>
      </c>
      <c r="N30" s="24">
        <v>0.27475533901537269</v>
      </c>
      <c r="O30" s="24">
        <v>0.27917435660092399</v>
      </c>
      <c r="P30" s="24">
        <v>0.25798794662644753</v>
      </c>
      <c r="Q30" s="24">
        <v>0.89140293483969957</v>
      </c>
      <c r="R30" s="24">
        <v>0.87162068813154581</v>
      </c>
      <c r="S30" s="24">
        <v>0.63277579492906433</v>
      </c>
      <c r="T30" s="35">
        <f t="shared" si="0"/>
        <v>4.292510899256631</v>
      </c>
      <c r="U30" s="29"/>
      <c r="V30" s="29"/>
      <c r="W30" s="29"/>
    </row>
    <row r="31" spans="1:23" ht="18.600000000000001" customHeight="1" x14ac:dyDescent="0.25">
      <c r="A31" s="12" t="s">
        <v>30</v>
      </c>
      <c r="B31" s="11" t="s">
        <v>23</v>
      </c>
      <c r="C31" s="11" t="s">
        <v>25</v>
      </c>
      <c r="D31" s="24">
        <v>7.1145706722741994E-2</v>
      </c>
      <c r="E31" s="24">
        <v>7.1552370927188302E-2</v>
      </c>
      <c r="F31" s="24">
        <v>4.0151088025063245E-2</v>
      </c>
      <c r="G31" s="24">
        <v>0.17169567964107985</v>
      </c>
      <c r="H31" s="34">
        <v>1.1471272477632795</v>
      </c>
      <c r="I31" s="34">
        <v>0.1110705055467133</v>
      </c>
      <c r="J31" s="24">
        <v>0.48523986655154178</v>
      </c>
      <c r="K31" s="24">
        <v>0.4812528981942033</v>
      </c>
      <c r="L31" s="24">
        <v>0.33350430335122999</v>
      </c>
      <c r="M31" s="24">
        <v>0.27873326714945013</v>
      </c>
      <c r="N31" s="24">
        <v>0.67441931955571177</v>
      </c>
      <c r="O31" s="24">
        <v>0.65560538142076241</v>
      </c>
      <c r="P31" s="24">
        <v>0.64791849402473511</v>
      </c>
      <c r="Q31" s="24">
        <v>2.4012316338361841</v>
      </c>
      <c r="R31" s="24">
        <v>2.383752725525746</v>
      </c>
      <c r="S31" s="24">
        <v>1.4755675953349845</v>
      </c>
      <c r="T31" s="35">
        <f t="shared" si="0"/>
        <v>11.429968083570616</v>
      </c>
      <c r="U31" s="29"/>
      <c r="V31" s="29"/>
      <c r="W31" s="29"/>
    </row>
    <row r="32" spans="1:23" ht="18.600000000000001" customHeight="1" x14ac:dyDescent="0.25">
      <c r="A32" s="12" t="s">
        <v>35</v>
      </c>
      <c r="B32" s="11" t="s">
        <v>21</v>
      </c>
      <c r="C32" s="11" t="s">
        <v>24</v>
      </c>
      <c r="D32" s="24">
        <v>2.2672620327678691E-2</v>
      </c>
      <c r="E32" s="24">
        <v>2.9813711003003732E-2</v>
      </c>
      <c r="F32" s="24">
        <v>3.9401160808072967E-2</v>
      </c>
      <c r="G32" s="24">
        <v>3.9050515293706393E-2</v>
      </c>
      <c r="H32" s="34">
        <v>0.47755551765246629</v>
      </c>
      <c r="I32" s="34">
        <v>3.8299638994882985E-2</v>
      </c>
      <c r="J32" s="24">
        <v>0.19746420143580934</v>
      </c>
      <c r="K32" s="24">
        <v>0.14146215500891807</v>
      </c>
      <c r="L32" s="24">
        <v>5.9499105961143307E-2</v>
      </c>
      <c r="M32" s="24">
        <v>7.0252498379712647E-2</v>
      </c>
      <c r="N32" s="24">
        <v>0.21691100257690671</v>
      </c>
      <c r="O32" s="24">
        <v>0.19705336897811523</v>
      </c>
      <c r="P32" s="24">
        <v>0.20021933338998116</v>
      </c>
      <c r="Q32" s="24">
        <v>0.49826805054296686</v>
      </c>
      <c r="R32" s="24">
        <v>0.35924137790047095</v>
      </c>
      <c r="S32" s="24">
        <v>0.39306267277771256</v>
      </c>
      <c r="T32" s="35">
        <f t="shared" si="0"/>
        <v>2.9802269310315479</v>
      </c>
      <c r="U32" s="29"/>
      <c r="V32" s="29"/>
      <c r="W32" s="29"/>
    </row>
    <row r="33" spans="1:23" ht="18.600000000000001" customHeight="1" x14ac:dyDescent="0.25">
      <c r="A33" s="12" t="s">
        <v>35</v>
      </c>
      <c r="B33" s="11" t="s">
        <v>21</v>
      </c>
      <c r="C33" s="11" t="s">
        <v>25</v>
      </c>
      <c r="D33" s="24">
        <v>3.7150905492447275E-2</v>
      </c>
      <c r="E33" s="24">
        <v>4.6212478503133703E-2</v>
      </c>
      <c r="F33" s="24">
        <v>3.7277751658826089E-2</v>
      </c>
      <c r="G33" s="24">
        <v>0.1030444935068887</v>
      </c>
      <c r="H33" s="34">
        <v>0.86933995092291749</v>
      </c>
      <c r="I33" s="34">
        <v>7.3739492704673684E-2</v>
      </c>
      <c r="J33" s="24">
        <v>0.25877658163293538</v>
      </c>
      <c r="K33" s="24">
        <v>0.23235079680095624</v>
      </c>
      <c r="L33" s="24">
        <v>0.12600138309463796</v>
      </c>
      <c r="M33" s="24">
        <v>0.12886709555105086</v>
      </c>
      <c r="N33" s="24">
        <v>0.39572347581961426</v>
      </c>
      <c r="O33" s="24">
        <v>0.36081447521651078</v>
      </c>
      <c r="P33" s="24">
        <v>0.25909491485492897</v>
      </c>
      <c r="Q33" s="24">
        <v>1.0888549118619475</v>
      </c>
      <c r="R33" s="24">
        <v>0.7896066329919661</v>
      </c>
      <c r="S33" s="24">
        <v>0.5916892155568606</v>
      </c>
      <c r="T33" s="35">
        <f t="shared" si="0"/>
        <v>5.3985445561702958</v>
      </c>
      <c r="U33" s="29"/>
      <c r="V33" s="29"/>
      <c r="W33" s="29"/>
    </row>
    <row r="34" spans="1:23" ht="18.600000000000001" customHeight="1" x14ac:dyDescent="0.25">
      <c r="A34" s="12" t="s">
        <v>35</v>
      </c>
      <c r="B34" s="12" t="s">
        <v>22</v>
      </c>
      <c r="C34" s="11" t="s">
        <v>24</v>
      </c>
      <c r="D34" s="24">
        <v>2.6080505075100152E-2</v>
      </c>
      <c r="E34" s="24">
        <v>3.2686857833051669E-2</v>
      </c>
      <c r="F34" s="24">
        <v>3.9237397320877325E-2</v>
      </c>
      <c r="G34" s="24">
        <v>3.1682573946131075E-2</v>
      </c>
      <c r="H34" s="34">
        <v>0.49866507899499024</v>
      </c>
      <c r="I34" s="34">
        <v>3.9112827191474915E-2</v>
      </c>
      <c r="J34" s="24">
        <v>0.26414873352721835</v>
      </c>
      <c r="K34" s="24">
        <v>0.20578502941070193</v>
      </c>
      <c r="L34" s="24">
        <v>7.0500967302462164E-2</v>
      </c>
      <c r="M34" s="24">
        <v>0.10074096130770072</v>
      </c>
      <c r="N34" s="24">
        <v>0.28048267853256836</v>
      </c>
      <c r="O34" s="24">
        <v>0.24405351654016019</v>
      </c>
      <c r="P34" s="24">
        <v>0.25559894256782673</v>
      </c>
      <c r="Q34" s="24">
        <v>0.56499563564040356</v>
      </c>
      <c r="R34" s="24">
        <v>0.73809285854935869</v>
      </c>
      <c r="S34" s="24">
        <v>0.52237546641583277</v>
      </c>
      <c r="T34" s="35">
        <f t="shared" si="0"/>
        <v>3.9142400301558591</v>
      </c>
      <c r="U34" s="29"/>
      <c r="V34" s="29"/>
      <c r="W34" s="29"/>
    </row>
    <row r="35" spans="1:23" ht="18.600000000000001" customHeight="1" x14ac:dyDescent="0.25">
      <c r="A35" s="12" t="s">
        <v>35</v>
      </c>
      <c r="B35" s="12" t="s">
        <v>22</v>
      </c>
      <c r="C35" s="11" t="s">
        <v>25</v>
      </c>
      <c r="D35" s="24">
        <v>6.2142604520382359E-2</v>
      </c>
      <c r="E35" s="24">
        <v>5.3543686211277593E-2</v>
      </c>
      <c r="F35" s="24">
        <v>3.293952931724544E-2</v>
      </c>
      <c r="G35" s="24">
        <v>7.9795516008299844E-2</v>
      </c>
      <c r="H35" s="34">
        <v>0.90917156654864528</v>
      </c>
      <c r="I35" s="34">
        <v>7.7153444989421643E-2</v>
      </c>
      <c r="J35" s="24">
        <v>0.4602122035417629</v>
      </c>
      <c r="K35" s="24">
        <v>0.37065080415265739</v>
      </c>
      <c r="L35" s="24">
        <v>0.15773423935166975</v>
      </c>
      <c r="M35" s="24">
        <v>0.21909733811186682</v>
      </c>
      <c r="N35" s="24">
        <v>0.454535837596311</v>
      </c>
      <c r="O35" s="24">
        <v>0.40824115943930683</v>
      </c>
      <c r="P35" s="24">
        <v>0.38423791575269778</v>
      </c>
      <c r="Q35" s="24">
        <v>1.1753696729889063</v>
      </c>
      <c r="R35" s="24">
        <v>1.3389478102350956</v>
      </c>
      <c r="S35" s="24">
        <v>1.0446093221847683</v>
      </c>
      <c r="T35" s="35">
        <f t="shared" si="0"/>
        <v>7.2283826509503148</v>
      </c>
      <c r="U35" s="29"/>
      <c r="V35" s="29"/>
      <c r="W35" s="29"/>
    </row>
    <row r="36" spans="1:23" ht="18.600000000000001" customHeight="1" x14ac:dyDescent="0.25">
      <c r="A36" s="12" t="s">
        <v>35</v>
      </c>
      <c r="B36" s="11" t="s">
        <v>23</v>
      </c>
      <c r="C36" s="11" t="s">
        <v>24</v>
      </c>
      <c r="D36" s="24">
        <v>3.144205212995619E-2</v>
      </c>
      <c r="E36" s="24">
        <v>1.8997633990529152E-2</v>
      </c>
      <c r="F36" s="24">
        <v>3.2764976358555978E-2</v>
      </c>
      <c r="G36" s="24">
        <v>3.9120506347637786E-2</v>
      </c>
      <c r="H36" s="34">
        <v>0.61993837817104314</v>
      </c>
      <c r="I36" s="34">
        <v>6.4076980451585358E-2</v>
      </c>
      <c r="J36" s="24">
        <v>0.18011316920368858</v>
      </c>
      <c r="K36" s="24">
        <v>0.24843195752232902</v>
      </c>
      <c r="L36" s="24">
        <v>0.14004704635480425</v>
      </c>
      <c r="M36" s="24">
        <v>0.25057321588757014</v>
      </c>
      <c r="N36" s="24">
        <v>0.33055064994507144</v>
      </c>
      <c r="O36" s="24">
        <v>0.29207506766660268</v>
      </c>
      <c r="P36" s="24">
        <v>0.30446353907539786</v>
      </c>
      <c r="Q36" s="24">
        <v>0.80393914090574081</v>
      </c>
      <c r="R36" s="24">
        <v>0.89968863854399939</v>
      </c>
      <c r="S36" s="24">
        <v>0.5867440233887754</v>
      </c>
      <c r="T36" s="35">
        <f t="shared" si="0"/>
        <v>4.8429669759432876</v>
      </c>
      <c r="U36" s="29"/>
      <c r="V36" s="29"/>
      <c r="W36" s="29"/>
    </row>
    <row r="37" spans="1:23" ht="18.600000000000001" customHeight="1" x14ac:dyDescent="0.25">
      <c r="A37" s="12" t="s">
        <v>35</v>
      </c>
      <c r="B37" s="11" t="s">
        <v>23</v>
      </c>
      <c r="C37" s="11" t="s">
        <v>25</v>
      </c>
      <c r="D37" s="24">
        <v>7.4282325077098865E-2</v>
      </c>
      <c r="E37" s="24">
        <v>7.0028263497882048E-2</v>
      </c>
      <c r="F37" s="24">
        <v>5.8238788572936531E-2</v>
      </c>
      <c r="G37" s="24">
        <v>0.24724746108882592</v>
      </c>
      <c r="H37" s="34">
        <v>1.1728989331924895</v>
      </c>
      <c r="I37" s="34">
        <v>0.15660995462760063</v>
      </c>
      <c r="J37" s="24">
        <v>0.55015076705844246</v>
      </c>
      <c r="K37" s="24">
        <v>0.39996099754048159</v>
      </c>
      <c r="L37" s="24">
        <v>0.2926498527026084</v>
      </c>
      <c r="M37" s="24">
        <v>0.37770619119179993</v>
      </c>
      <c r="N37" s="24">
        <v>0.71298170123098381</v>
      </c>
      <c r="O37" s="24">
        <v>0.62141116581470168</v>
      </c>
      <c r="P37" s="24">
        <v>0.86505301947920021</v>
      </c>
      <c r="Q37" s="24">
        <v>1.5500248462697432</v>
      </c>
      <c r="R37" s="24">
        <v>2.0983645156981825</v>
      </c>
      <c r="S37" s="24">
        <v>1.4338765261983109</v>
      </c>
      <c r="T37" s="35">
        <f t="shared" si="0"/>
        <v>10.681485309241289</v>
      </c>
      <c r="U37" s="29"/>
      <c r="V37" s="29"/>
      <c r="W37" s="29"/>
    </row>
    <row r="38" spans="1:23" ht="18.600000000000001" customHeight="1" x14ac:dyDescent="0.25">
      <c r="A38" s="12" t="s">
        <v>36</v>
      </c>
      <c r="B38" s="11" t="s">
        <v>21</v>
      </c>
      <c r="C38" s="11" t="s">
        <v>24</v>
      </c>
      <c r="D38" s="24">
        <v>3.0237611609932737E-2</v>
      </c>
      <c r="E38" s="24">
        <v>2.5022428222695615E-2</v>
      </c>
      <c r="F38" s="24">
        <v>2.8347127100542352E-2</v>
      </c>
      <c r="G38" s="24">
        <v>4.1067482961574107E-2</v>
      </c>
      <c r="H38" s="34">
        <v>0.52109419665858292</v>
      </c>
      <c r="I38" s="34">
        <v>4.4220710276748093E-2</v>
      </c>
      <c r="J38" s="24">
        <v>0.24305106851295408</v>
      </c>
      <c r="K38" s="24">
        <v>0.19405036875077827</v>
      </c>
      <c r="L38" s="24">
        <v>6.8308472344614193E-2</v>
      </c>
      <c r="M38" s="24">
        <v>9.4463991330783995E-2</v>
      </c>
      <c r="N38" s="24">
        <v>0.16573818269243526</v>
      </c>
      <c r="O38" s="24">
        <v>0.17246441831853707</v>
      </c>
      <c r="P38" s="24">
        <v>0.34322061668055998</v>
      </c>
      <c r="Q38" s="24">
        <v>0.39921041669643348</v>
      </c>
      <c r="R38" s="24">
        <v>0.37401085394215666</v>
      </c>
      <c r="S38" s="24">
        <v>0.43425738903721323</v>
      </c>
      <c r="T38" s="35">
        <f t="shared" si="0"/>
        <v>3.1787653351365424</v>
      </c>
      <c r="U38" s="29"/>
      <c r="V38" s="29"/>
      <c r="W38" s="29"/>
    </row>
    <row r="39" spans="1:23" ht="18.600000000000001" customHeight="1" x14ac:dyDescent="0.25">
      <c r="A39" s="12" t="s">
        <v>36</v>
      </c>
      <c r="B39" s="11" t="s">
        <v>21</v>
      </c>
      <c r="C39" s="11" t="s">
        <v>25</v>
      </c>
      <c r="D39" s="24">
        <v>3.8204263074085781E-2</v>
      </c>
      <c r="E39" s="24">
        <v>3.3369961793104704E-2</v>
      </c>
      <c r="F39" s="24">
        <v>4.0894468189565783E-2</v>
      </c>
      <c r="G39" s="24">
        <v>9.1235740471427212E-2</v>
      </c>
      <c r="H39" s="34">
        <v>1.0649773391180186</v>
      </c>
      <c r="I39" s="34">
        <v>8.9952576593758646E-2</v>
      </c>
      <c r="J39" s="24">
        <v>0.38163900782179849</v>
      </c>
      <c r="K39" s="24">
        <v>0.29186913309993406</v>
      </c>
      <c r="L39" s="24">
        <v>0.13892060410995974</v>
      </c>
      <c r="M39" s="24">
        <v>0.20461504642872683</v>
      </c>
      <c r="N39" s="24">
        <v>0.35842811395437768</v>
      </c>
      <c r="O39" s="24">
        <v>0.45589472396999531</v>
      </c>
      <c r="P39" s="24">
        <v>0.51866091724441332</v>
      </c>
      <c r="Q39" s="24">
        <v>0.79088397587628334</v>
      </c>
      <c r="R39" s="24">
        <v>0.90392185808881376</v>
      </c>
      <c r="S39" s="24">
        <v>0.64082687010807693</v>
      </c>
      <c r="T39" s="35">
        <f t="shared" si="0"/>
        <v>6.0442945999423392</v>
      </c>
      <c r="U39" s="29"/>
      <c r="V39" s="29"/>
      <c r="W39" s="29"/>
    </row>
    <row r="40" spans="1:23" ht="18.600000000000001" customHeight="1" x14ac:dyDescent="0.25">
      <c r="A40" s="12" t="s">
        <v>36</v>
      </c>
      <c r="B40" s="12" t="s">
        <v>22</v>
      </c>
      <c r="C40" s="11" t="s">
        <v>24</v>
      </c>
      <c r="D40" s="24">
        <v>2.5365599127318797E-2</v>
      </c>
      <c r="E40" s="24">
        <v>3.0278055899277258E-2</v>
      </c>
      <c r="F40" s="24">
        <v>2.5351350255868911E-2</v>
      </c>
      <c r="G40" s="24">
        <v>5.2730149873899478E-2</v>
      </c>
      <c r="H40" s="34">
        <v>0.48124211592825528</v>
      </c>
      <c r="I40" s="34">
        <v>4.0461798889857632E-2</v>
      </c>
      <c r="J40" s="24">
        <v>0.27787415896031431</v>
      </c>
      <c r="K40" s="24">
        <v>0.18918450718116603</v>
      </c>
      <c r="L40" s="24">
        <v>6.5380453847517922E-2</v>
      </c>
      <c r="M40" s="24">
        <v>7.8694725610388011E-2</v>
      </c>
      <c r="N40" s="24">
        <v>0.24732736988740323</v>
      </c>
      <c r="O40" s="24">
        <v>0.28702308294369377</v>
      </c>
      <c r="P40" s="24">
        <v>0.48963526311946315</v>
      </c>
      <c r="Q40" s="24">
        <v>0.44972058875661403</v>
      </c>
      <c r="R40" s="24">
        <v>0.62225957263819565</v>
      </c>
      <c r="S40" s="24">
        <v>0.53869052304057807</v>
      </c>
      <c r="T40" s="35">
        <f t="shared" si="0"/>
        <v>3.9012193159598123</v>
      </c>
      <c r="U40" s="29"/>
      <c r="V40" s="29"/>
      <c r="W40" s="29"/>
    </row>
    <row r="41" spans="1:23" ht="18.600000000000001" customHeight="1" x14ac:dyDescent="0.25">
      <c r="A41" s="12" t="s">
        <v>36</v>
      </c>
      <c r="B41" s="12" t="s">
        <v>22</v>
      </c>
      <c r="C41" s="11" t="s">
        <v>25</v>
      </c>
      <c r="D41" s="24">
        <v>5.7230929524323113E-2</v>
      </c>
      <c r="E41" s="24">
        <v>4.0070069446854324E-2</v>
      </c>
      <c r="F41" s="24">
        <v>4.9427292133489689E-2</v>
      </c>
      <c r="G41" s="24">
        <v>0.1876611969494556</v>
      </c>
      <c r="H41" s="34">
        <v>1.0122437187343474</v>
      </c>
      <c r="I41" s="34">
        <v>8.6717415443835488E-2</v>
      </c>
      <c r="J41" s="24">
        <v>0.52010133711440487</v>
      </c>
      <c r="K41" s="24">
        <v>0.34764574255025044</v>
      </c>
      <c r="L41" s="24">
        <v>0.20672267369429054</v>
      </c>
      <c r="M41" s="24">
        <v>0.2849247241781353</v>
      </c>
      <c r="N41" s="24">
        <v>0.40056090366458619</v>
      </c>
      <c r="O41" s="24">
        <v>0.45434819631367968</v>
      </c>
      <c r="P41" s="24">
        <v>0.69289870524861763</v>
      </c>
      <c r="Q41" s="24">
        <v>1.085511197959552</v>
      </c>
      <c r="R41" s="24">
        <v>1.5650475512789492</v>
      </c>
      <c r="S41" s="24">
        <v>0.8338396925268784</v>
      </c>
      <c r="T41" s="35">
        <f t="shared" si="0"/>
        <v>7.8249513467616509</v>
      </c>
      <c r="U41" s="29"/>
      <c r="V41" s="29"/>
      <c r="W41" s="29"/>
    </row>
    <row r="42" spans="1:23" ht="18.600000000000001" customHeight="1" x14ac:dyDescent="0.25">
      <c r="A42" s="12" t="s">
        <v>36</v>
      </c>
      <c r="B42" s="11" t="s">
        <v>23</v>
      </c>
      <c r="C42" s="11" t="s">
        <v>24</v>
      </c>
      <c r="D42" s="24">
        <v>2.8409250860735629E-2</v>
      </c>
      <c r="E42" s="24">
        <v>2.6543262104620571E-2</v>
      </c>
      <c r="F42" s="24">
        <v>3.2091925370685941E-2</v>
      </c>
      <c r="G42" s="24">
        <v>6.8183141345623893E-2</v>
      </c>
      <c r="H42" s="34">
        <v>0.88378067144580053</v>
      </c>
      <c r="I42" s="34">
        <v>0.12111063974974313</v>
      </c>
      <c r="J42" s="24">
        <v>0.23003370465271117</v>
      </c>
      <c r="K42" s="24">
        <v>0.20959304389444636</v>
      </c>
      <c r="L42" s="24">
        <v>0.15446187477731671</v>
      </c>
      <c r="M42" s="24">
        <v>0.18595129121735679</v>
      </c>
      <c r="N42" s="24">
        <v>0.28722192810393382</v>
      </c>
      <c r="O42" s="24">
        <v>0.30566999382910298</v>
      </c>
      <c r="P42" s="24">
        <v>0.61079871860316037</v>
      </c>
      <c r="Q42" s="24">
        <v>0.95364736765589087</v>
      </c>
      <c r="R42" s="24">
        <v>0.68308770297050769</v>
      </c>
      <c r="S42" s="24">
        <v>0.77410736552430381</v>
      </c>
      <c r="T42" s="35">
        <f t="shared" si="0"/>
        <v>5.5546918821059412</v>
      </c>
      <c r="U42" s="29"/>
      <c r="V42" s="29"/>
      <c r="W42" s="29"/>
    </row>
    <row r="43" spans="1:23" ht="18.600000000000001" customHeight="1" x14ac:dyDescent="0.25">
      <c r="A43" s="12" t="s">
        <v>36</v>
      </c>
      <c r="B43" s="11" t="s">
        <v>23</v>
      </c>
      <c r="C43" s="11" t="s">
        <v>25</v>
      </c>
      <c r="D43" s="24">
        <v>6.2536890683919835E-2</v>
      </c>
      <c r="E43" s="24">
        <v>5.8478352306271811E-2</v>
      </c>
      <c r="F43" s="24">
        <v>5.3909834763782645E-2</v>
      </c>
      <c r="G43" s="24">
        <v>0.18297485049381235</v>
      </c>
      <c r="H43" s="34">
        <v>1.5767827706404329</v>
      </c>
      <c r="I43" s="34">
        <v>0.21339018711639049</v>
      </c>
      <c r="J43" s="24">
        <v>0.60061160538845015</v>
      </c>
      <c r="K43" s="24">
        <v>0.55613475990048111</v>
      </c>
      <c r="L43" s="24">
        <v>0.40802067836211187</v>
      </c>
      <c r="M43" s="24">
        <v>0.56099595430190607</v>
      </c>
      <c r="N43" s="24">
        <v>0.64965152477109511</v>
      </c>
      <c r="O43" s="24">
        <v>0.60789257662249596</v>
      </c>
      <c r="P43" s="24">
        <v>1.3649321641036007</v>
      </c>
      <c r="Q43" s="24">
        <v>2.3721102776968799</v>
      </c>
      <c r="R43" s="24">
        <v>1.9406061087409887</v>
      </c>
      <c r="S43" s="24">
        <v>1.4259774010563839</v>
      </c>
      <c r="T43" s="35">
        <f t="shared" si="0"/>
        <v>12.635005936949003</v>
      </c>
      <c r="U43" s="29"/>
      <c r="V43" s="29"/>
      <c r="W43" s="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tabSelected="1" workbookViewId="0">
      <pane xSplit="3" ySplit="1" topLeftCell="D2" activePane="bottomRight" state="frozen"/>
      <selection pane="topRight" activeCell="B1" sqref="B1"/>
      <selection pane="bottomLeft" activeCell="A6" sqref="A6"/>
      <selection pane="bottomRight" activeCell="Y18" sqref="Y18"/>
    </sheetView>
  </sheetViews>
  <sheetFormatPr defaultColWidth="8.85546875" defaultRowHeight="15" x14ac:dyDescent="0.25"/>
  <cols>
    <col min="1" max="1" width="7.5703125" style="1" bestFit="1" customWidth="1"/>
    <col min="2" max="2" width="10.28515625" style="1" bestFit="1" customWidth="1"/>
    <col min="3" max="3" width="8.85546875" style="1"/>
    <col min="4" max="6" width="4.42578125" style="4" bestFit="1" customWidth="1"/>
    <col min="7" max="7" width="4.42578125" style="5" bestFit="1" customWidth="1"/>
    <col min="8" max="9" width="4.42578125" style="9" bestFit="1" customWidth="1"/>
    <col min="10" max="11" width="4.42578125" style="5" bestFit="1" customWidth="1"/>
    <col min="12" max="13" width="4.42578125" style="6" bestFit="1" customWidth="1"/>
    <col min="14" max="15" width="4.42578125" style="4" bestFit="1" customWidth="1"/>
    <col min="16" max="16" width="4.42578125" style="10" bestFit="1" customWidth="1"/>
    <col min="17" max="17" width="4.42578125" style="4" bestFit="1" customWidth="1"/>
    <col min="18" max="18" width="4.7109375" style="4" bestFit="1" customWidth="1"/>
    <col min="19" max="19" width="4.7109375" style="10" bestFit="1" customWidth="1"/>
    <col min="20" max="20" width="6.85546875" style="18" bestFit="1" customWidth="1"/>
    <col min="21" max="21" width="11.42578125" style="3" customWidth="1"/>
    <col min="22" max="22" width="15.85546875" style="3" customWidth="1"/>
    <col min="23" max="23" width="13.85546875" style="3" customWidth="1"/>
    <col min="24" max="16384" width="8.85546875" style="1"/>
  </cols>
  <sheetData>
    <row r="1" spans="1:23" ht="30" x14ac:dyDescent="0.25">
      <c r="A1" s="13" t="s">
        <v>29</v>
      </c>
      <c r="B1" s="13" t="s">
        <v>40</v>
      </c>
      <c r="C1" s="13" t="s">
        <v>20</v>
      </c>
      <c r="D1" s="19" t="s">
        <v>8</v>
      </c>
      <c r="E1" s="19" t="s">
        <v>9</v>
      </c>
      <c r="F1" s="19" t="s">
        <v>10</v>
      </c>
      <c r="G1" s="20" t="s">
        <v>1</v>
      </c>
      <c r="H1" s="21" t="s">
        <v>11</v>
      </c>
      <c r="I1" s="21" t="s">
        <v>0</v>
      </c>
      <c r="J1" s="20" t="s">
        <v>12</v>
      </c>
      <c r="K1" s="20" t="s">
        <v>2</v>
      </c>
      <c r="L1" s="22" t="s">
        <v>4</v>
      </c>
      <c r="M1" s="22" t="s">
        <v>3</v>
      </c>
      <c r="N1" s="19" t="s">
        <v>5</v>
      </c>
      <c r="O1" s="19" t="s">
        <v>6</v>
      </c>
      <c r="P1" s="23" t="s">
        <v>7</v>
      </c>
      <c r="Q1" s="19" t="s">
        <v>13</v>
      </c>
      <c r="R1" s="19" t="s">
        <v>14</v>
      </c>
      <c r="S1" s="23" t="s">
        <v>15</v>
      </c>
      <c r="T1" s="32" t="s">
        <v>16</v>
      </c>
      <c r="U1" s="33" t="s">
        <v>17</v>
      </c>
      <c r="V1" s="33" t="s">
        <v>18</v>
      </c>
      <c r="W1" s="33" t="s">
        <v>19</v>
      </c>
    </row>
    <row r="2" spans="1:23" ht="18.600000000000001" customHeight="1" x14ac:dyDescent="0.25">
      <c r="A2" s="12" t="s">
        <v>37</v>
      </c>
      <c r="B2" s="11" t="s">
        <v>21</v>
      </c>
      <c r="C2" s="11" t="s">
        <v>24</v>
      </c>
      <c r="D2" s="24">
        <v>4.1813527022167514E-2</v>
      </c>
      <c r="E2" s="24">
        <v>1.0331699311402839E-2</v>
      </c>
      <c r="F2" s="24">
        <v>9.4366817393564621E-3</v>
      </c>
      <c r="G2" s="25">
        <v>1.8535918966900083E-2</v>
      </c>
      <c r="H2" s="26">
        <v>0.17258449615092919</v>
      </c>
      <c r="I2" s="26">
        <v>1.4020892938219721E-2</v>
      </c>
      <c r="J2" s="25">
        <v>8.1913499560314032E-2</v>
      </c>
      <c r="K2" s="25">
        <v>7.5181933656410113E-2</v>
      </c>
      <c r="L2" s="27">
        <v>1.0861685539829595E-2</v>
      </c>
      <c r="M2" s="27">
        <v>1.2929407237350093E-2</v>
      </c>
      <c r="N2" s="24">
        <v>2.8991436552183236E-2</v>
      </c>
      <c r="O2" s="24">
        <v>2.0348309271454167E-2</v>
      </c>
      <c r="P2" s="28">
        <v>2.4200553756374778E-2</v>
      </c>
      <c r="Q2" s="24">
        <v>6.3217939632482706E-2</v>
      </c>
      <c r="R2" s="24">
        <v>4.1303621184375562E-2</v>
      </c>
      <c r="S2" s="28">
        <v>4.9154029271518976E-2</v>
      </c>
      <c r="T2" s="35">
        <f>SUM(D2:S2)</f>
        <v>0.67482563179126909</v>
      </c>
      <c r="U2" s="29"/>
      <c r="V2" s="29"/>
      <c r="W2" s="29"/>
    </row>
    <row r="3" spans="1:23" ht="18.600000000000001" customHeight="1" x14ac:dyDescent="0.25">
      <c r="A3" s="12" t="s">
        <v>37</v>
      </c>
      <c r="B3" s="11" t="s">
        <v>21</v>
      </c>
      <c r="C3" s="11" t="s">
        <v>25</v>
      </c>
      <c r="D3" s="24">
        <v>0.13962828755643453</v>
      </c>
      <c r="E3" s="24">
        <v>2.9753805502543459E-2</v>
      </c>
      <c r="F3" s="24">
        <v>1.7506696558711156E-2</v>
      </c>
      <c r="G3" s="25">
        <v>5.5602089000237914E-2</v>
      </c>
      <c r="H3" s="26">
        <v>0.48424194745275123</v>
      </c>
      <c r="I3" s="26">
        <v>3.7510976351444091E-2</v>
      </c>
      <c r="J3" s="25">
        <v>0.19742737798366611</v>
      </c>
      <c r="K3" s="25">
        <v>0.17531989361458047</v>
      </c>
      <c r="L3" s="27">
        <v>4.0429313337423986E-2</v>
      </c>
      <c r="M3" s="27">
        <v>5.2116713841599716E-2</v>
      </c>
      <c r="N3" s="24">
        <v>8.0055817182012629E-2</v>
      </c>
      <c r="O3" s="24">
        <v>6.2953089989938898E-2</v>
      </c>
      <c r="P3" s="28">
        <v>5.1343516960364273E-2</v>
      </c>
      <c r="Q3" s="24">
        <v>0.10578400044250807</v>
      </c>
      <c r="R3" s="24">
        <v>9.0582341273510239E-2</v>
      </c>
      <c r="S3" s="28">
        <v>8.69877582017861E-2</v>
      </c>
      <c r="T3" s="35">
        <f t="shared" ref="T3:T19" si="0">SUM(D3:S3)</f>
        <v>1.7072436252495131</v>
      </c>
      <c r="U3" s="29"/>
      <c r="V3" s="29"/>
      <c r="W3" s="29"/>
    </row>
    <row r="4" spans="1:23" ht="18.600000000000001" customHeight="1" x14ac:dyDescent="0.25">
      <c r="A4" s="12" t="s">
        <v>37</v>
      </c>
      <c r="B4" s="12" t="s">
        <v>22</v>
      </c>
      <c r="C4" s="11" t="s">
        <v>24</v>
      </c>
      <c r="D4" s="24">
        <v>7.7261617067973423E-2</v>
      </c>
      <c r="E4" s="24">
        <v>2.024611836849324E-2</v>
      </c>
      <c r="F4" s="24">
        <v>1.5244107716335812E-2</v>
      </c>
      <c r="G4" s="25">
        <v>3.4404330229620188E-2</v>
      </c>
      <c r="H4" s="26">
        <v>0.3693915399995697</v>
      </c>
      <c r="I4" s="26">
        <v>3.25509781228598E-2</v>
      </c>
      <c r="J4" s="25">
        <v>0.12073631773451433</v>
      </c>
      <c r="K4" s="25">
        <v>0.10593164322168976</v>
      </c>
      <c r="L4" s="27">
        <v>2.5889063481485529E-2</v>
      </c>
      <c r="M4" s="27">
        <v>3.1272280007444739E-2</v>
      </c>
      <c r="N4" s="24">
        <v>2.8121801580929622E-2</v>
      </c>
      <c r="O4" s="24">
        <v>2.0379167650634453E-2</v>
      </c>
      <c r="P4" s="28">
        <v>1.6503124949524745E-2</v>
      </c>
      <c r="Q4" s="24">
        <v>0.10280658709192952</v>
      </c>
      <c r="R4" s="24">
        <v>5.3937310608791179E-2</v>
      </c>
      <c r="S4" s="28">
        <v>4.3551449459601786E-2</v>
      </c>
      <c r="T4" s="35">
        <f t="shared" si="0"/>
        <v>1.098227437291398</v>
      </c>
      <c r="U4" s="29"/>
      <c r="V4" s="29"/>
      <c r="W4" s="29"/>
    </row>
    <row r="5" spans="1:23" ht="18.600000000000001" customHeight="1" x14ac:dyDescent="0.25">
      <c r="A5" s="12" t="s">
        <v>37</v>
      </c>
      <c r="B5" s="12" t="s">
        <v>22</v>
      </c>
      <c r="C5" s="11" t="s">
        <v>25</v>
      </c>
      <c r="D5" s="24">
        <v>0.18198831937238893</v>
      </c>
      <c r="E5" s="24">
        <v>5.0541272918890857E-2</v>
      </c>
      <c r="F5" s="24">
        <v>2.3278313657146527E-2</v>
      </c>
      <c r="G5" s="25">
        <v>6.4984793114985465E-2</v>
      </c>
      <c r="H5" s="26">
        <v>0.8164549054848399</v>
      </c>
      <c r="I5" s="26">
        <v>6.0521425173695707E-2</v>
      </c>
      <c r="J5" s="25">
        <v>0.22860178109044682</v>
      </c>
      <c r="K5" s="25">
        <v>0.22330375687663012</v>
      </c>
      <c r="L5" s="27">
        <v>5.374782091421608E-2</v>
      </c>
      <c r="M5" s="27">
        <v>7.0986896994241738E-2</v>
      </c>
      <c r="N5" s="24">
        <v>0.11525051642298875</v>
      </c>
      <c r="O5" s="24">
        <v>0.139194277633334</v>
      </c>
      <c r="P5" s="28">
        <v>6.3049564991737472E-2</v>
      </c>
      <c r="Q5" s="24">
        <v>0.22741317709040273</v>
      </c>
      <c r="R5" s="24">
        <v>0.13925894205904166</v>
      </c>
      <c r="S5" s="28">
        <v>0.12888221247976295</v>
      </c>
      <c r="T5" s="35">
        <f t="shared" si="0"/>
        <v>2.5874579762747496</v>
      </c>
      <c r="U5" s="29"/>
      <c r="V5" s="29"/>
      <c r="W5" s="29"/>
    </row>
    <row r="6" spans="1:23" ht="18.600000000000001" customHeight="1" x14ac:dyDescent="0.25">
      <c r="A6" s="12" t="s">
        <v>37</v>
      </c>
      <c r="B6" s="11" t="s">
        <v>23</v>
      </c>
      <c r="C6" s="11" t="s">
        <v>24</v>
      </c>
      <c r="D6" s="24">
        <v>0.27443928551780694</v>
      </c>
      <c r="E6" s="24">
        <v>1.7901724596477733E-2</v>
      </c>
      <c r="F6" s="24">
        <v>3.0320591273697437E-2</v>
      </c>
      <c r="G6" s="25">
        <v>6.8605065780964564E-2</v>
      </c>
      <c r="H6" s="26">
        <v>0.67037300059627636</v>
      </c>
      <c r="I6" s="26">
        <v>5.1928476224086625E-2</v>
      </c>
      <c r="J6" s="25">
        <v>0.25897784045248617</v>
      </c>
      <c r="K6" s="25">
        <v>0.23105508342876849</v>
      </c>
      <c r="L6" s="27">
        <v>2.5897986000006378E-2</v>
      </c>
      <c r="M6" s="27">
        <v>4.0926147010048083E-2</v>
      </c>
      <c r="N6" s="24">
        <v>6.8643963019723503E-2</v>
      </c>
      <c r="O6" s="24">
        <v>6.3303943203246768E-2</v>
      </c>
      <c r="P6" s="28">
        <v>7.2623302446291019E-2</v>
      </c>
      <c r="Q6" s="24">
        <v>0.1199470884593654</v>
      </c>
      <c r="R6" s="24">
        <v>0.22432019978953166</v>
      </c>
      <c r="S6" s="28">
        <v>0.12807484233206773</v>
      </c>
      <c r="T6" s="35">
        <f t="shared" si="0"/>
        <v>2.3473385401308451</v>
      </c>
      <c r="U6" s="29"/>
      <c r="V6" s="29"/>
      <c r="W6" s="29"/>
    </row>
    <row r="7" spans="1:23" ht="18.600000000000001" customHeight="1" x14ac:dyDescent="0.25">
      <c r="A7" s="12" t="s">
        <v>37</v>
      </c>
      <c r="B7" s="11" t="s">
        <v>23</v>
      </c>
      <c r="C7" s="11" t="s">
        <v>25</v>
      </c>
      <c r="D7" s="24">
        <v>0.52272009268238961</v>
      </c>
      <c r="E7" s="24">
        <v>7.3670554096747637E-2</v>
      </c>
      <c r="F7" s="24">
        <v>4.391980955115924E-2</v>
      </c>
      <c r="G7" s="25">
        <v>0.11531332375414156</v>
      </c>
      <c r="H7" s="26">
        <v>1.0739993776017145</v>
      </c>
      <c r="I7" s="26">
        <v>9.0222896686046758E-2</v>
      </c>
      <c r="J7" s="25">
        <v>0.4905960879589199</v>
      </c>
      <c r="K7" s="25">
        <v>0.43060036547156755</v>
      </c>
      <c r="L7" s="27">
        <v>0.1371755825065766</v>
      </c>
      <c r="M7" s="27">
        <v>0.21549378652938642</v>
      </c>
      <c r="N7" s="24">
        <v>0.22334534485045543</v>
      </c>
      <c r="O7" s="24">
        <v>0.19989709785011786</v>
      </c>
      <c r="P7" s="28">
        <v>0.14419388960503859</v>
      </c>
      <c r="Q7" s="24">
        <v>0.31024544468368676</v>
      </c>
      <c r="R7" s="24">
        <v>3.4510853241688441E-2</v>
      </c>
      <c r="S7" s="28">
        <v>0.18264575179270046</v>
      </c>
      <c r="T7" s="35">
        <f t="shared" si="0"/>
        <v>4.2885502588623368</v>
      </c>
      <c r="U7" s="29"/>
      <c r="V7" s="29"/>
      <c r="W7" s="29"/>
    </row>
    <row r="8" spans="1:23" ht="18.600000000000001" customHeight="1" x14ac:dyDescent="0.25">
      <c r="A8" s="12" t="s">
        <v>38</v>
      </c>
      <c r="B8" s="11" t="s">
        <v>21</v>
      </c>
      <c r="C8" s="11" t="s">
        <v>24</v>
      </c>
      <c r="D8" s="24">
        <v>5.0899801216455431E-2</v>
      </c>
      <c r="E8" s="24">
        <v>1.6312112235573949E-2</v>
      </c>
      <c r="F8" s="24">
        <v>1.325023313992725E-2</v>
      </c>
      <c r="G8" s="25">
        <v>1.5912421283130831E-2</v>
      </c>
      <c r="H8" s="26">
        <v>0.20361067152473156</v>
      </c>
      <c r="I8" s="26">
        <v>1.7177495324847556E-2</v>
      </c>
      <c r="J8" s="25">
        <v>8.4832691368149193E-2</v>
      </c>
      <c r="K8" s="25">
        <v>7.3966278190286144E-2</v>
      </c>
      <c r="L8" s="27">
        <v>1.4474815989327912E-2</v>
      </c>
      <c r="M8" s="27">
        <v>2.0122889188363666E-2</v>
      </c>
      <c r="N8" s="24">
        <v>2.6070146251615991E-2</v>
      </c>
      <c r="O8" s="24">
        <v>2.3993670075782604E-2</v>
      </c>
      <c r="P8" s="28">
        <v>2.1493891388032593E-2</v>
      </c>
      <c r="Q8" s="24">
        <v>6.2020488983415542E-2</v>
      </c>
      <c r="R8" s="24">
        <v>0.10505909971112837</v>
      </c>
      <c r="S8" s="28">
        <v>5.7939233820338915E-2</v>
      </c>
      <c r="T8" s="35">
        <f t="shared" si="0"/>
        <v>0.80713593969110742</v>
      </c>
      <c r="U8" s="29"/>
      <c r="V8" s="29"/>
      <c r="W8" s="29"/>
    </row>
    <row r="9" spans="1:23" ht="18.600000000000001" customHeight="1" x14ac:dyDescent="0.25">
      <c r="A9" s="12" t="s">
        <v>38</v>
      </c>
      <c r="B9" s="11" t="s">
        <v>21</v>
      </c>
      <c r="C9" s="11" t="s">
        <v>25</v>
      </c>
      <c r="D9" s="24">
        <v>0.1162737609321404</v>
      </c>
      <c r="E9" s="24">
        <v>3.2638870144949816E-2</v>
      </c>
      <c r="F9" s="24">
        <v>2.0390506705732534E-2</v>
      </c>
      <c r="G9" s="25">
        <v>4.9642305914110452E-2</v>
      </c>
      <c r="H9" s="26">
        <v>0.52181476641534263</v>
      </c>
      <c r="I9" s="26">
        <v>6.1786024289949955E-2</v>
      </c>
      <c r="J9" s="25">
        <v>0.21745854862632705</v>
      </c>
      <c r="K9" s="25">
        <v>0.19323704618126825</v>
      </c>
      <c r="L9" s="27">
        <v>3.3278690167834836E-2</v>
      </c>
      <c r="M9" s="27">
        <v>4.9595231957124258E-2</v>
      </c>
      <c r="N9" s="24">
        <v>7.4257262618781808E-2</v>
      </c>
      <c r="O9" s="24">
        <v>5.5066591154209366E-2</v>
      </c>
      <c r="P9" s="28">
        <v>3.6338262662745473E-2</v>
      </c>
      <c r="Q9" s="24">
        <v>0.11562347792781255</v>
      </c>
      <c r="R9" s="24">
        <v>4.3190211889557302E-2</v>
      </c>
      <c r="S9" s="28">
        <v>0.10183377563199501</v>
      </c>
      <c r="T9" s="35">
        <f t="shared" si="0"/>
        <v>1.7224253332198816</v>
      </c>
      <c r="U9" s="29"/>
      <c r="V9" s="29"/>
      <c r="W9" s="29"/>
    </row>
    <row r="10" spans="1:23" ht="18.600000000000001" customHeight="1" x14ac:dyDescent="0.25">
      <c r="A10" s="12" t="s">
        <v>38</v>
      </c>
      <c r="B10" s="12" t="s">
        <v>22</v>
      </c>
      <c r="C10" s="11" t="s">
        <v>24</v>
      </c>
      <c r="D10" s="24">
        <v>7.4158255250620697E-2</v>
      </c>
      <c r="E10" s="24">
        <v>1.0720116857591576E-2</v>
      </c>
      <c r="F10" s="24">
        <v>1.6518163650678312E-2</v>
      </c>
      <c r="G10" s="25">
        <v>2.817449624655546E-2</v>
      </c>
      <c r="H10" s="26">
        <v>0.27119689662323659</v>
      </c>
      <c r="I10" s="26">
        <v>2.2896916006813199E-2</v>
      </c>
      <c r="J10" s="25">
        <v>9.9089115680143253E-2</v>
      </c>
      <c r="K10" s="25">
        <v>8.8379602796488654E-2</v>
      </c>
      <c r="L10" s="27">
        <v>1.5120736333321479E-2</v>
      </c>
      <c r="M10" s="27">
        <v>2.5355644549812782E-2</v>
      </c>
      <c r="N10" s="24">
        <v>2.1537421291948411E-2</v>
      </c>
      <c r="O10" s="24">
        <v>1.6438304589265158E-2</v>
      </c>
      <c r="P10" s="28">
        <v>1.5715592689994392E-2</v>
      </c>
      <c r="Q10" s="24">
        <v>5.6763054988298971E-2</v>
      </c>
      <c r="R10" s="24">
        <v>5.4263253704313223E-2</v>
      </c>
      <c r="S10" s="28">
        <v>3.7459538319533692E-2</v>
      </c>
      <c r="T10" s="35">
        <f t="shared" si="0"/>
        <v>0.85378710957861581</v>
      </c>
      <c r="U10" s="29"/>
      <c r="V10" s="29"/>
      <c r="W10" s="29"/>
    </row>
    <row r="11" spans="1:23" ht="18.600000000000001" customHeight="1" x14ac:dyDescent="0.25">
      <c r="A11" s="12" t="s">
        <v>38</v>
      </c>
      <c r="B11" s="12" t="s">
        <v>22</v>
      </c>
      <c r="C11" s="11" t="s">
        <v>25</v>
      </c>
      <c r="D11" s="24">
        <v>0.18041464232709767</v>
      </c>
      <c r="E11" s="24">
        <v>4.3468633783700222E-2</v>
      </c>
      <c r="F11" s="24">
        <v>2.1870218725654911E-2</v>
      </c>
      <c r="G11" s="25">
        <v>6.4083922565009652E-2</v>
      </c>
      <c r="H11" s="26">
        <v>0.77510493725327134</v>
      </c>
      <c r="I11" s="26">
        <v>5.0074368417522191E-2</v>
      </c>
      <c r="J11" s="25">
        <v>0.19427713270469743</v>
      </c>
      <c r="K11" s="25">
        <v>0.20005322277896576</v>
      </c>
      <c r="L11" s="27">
        <v>0.11856941940277942</v>
      </c>
      <c r="M11" s="27">
        <v>0.14329360676786862</v>
      </c>
      <c r="N11" s="24">
        <v>0.13638774936011672</v>
      </c>
      <c r="O11" s="24">
        <v>0.15172975364818719</v>
      </c>
      <c r="P11" s="28">
        <v>0.14157139999332666</v>
      </c>
      <c r="Q11" s="24">
        <v>0.43469602603359042</v>
      </c>
      <c r="R11" s="24">
        <v>0.46455578387464336</v>
      </c>
      <c r="S11" s="28">
        <v>0.16895695639766686</v>
      </c>
      <c r="T11" s="35">
        <f t="shared" si="0"/>
        <v>3.289107774034099</v>
      </c>
      <c r="U11" s="29"/>
      <c r="V11" s="29"/>
      <c r="W11" s="29"/>
    </row>
    <row r="12" spans="1:23" ht="18.600000000000001" customHeight="1" x14ac:dyDescent="0.25">
      <c r="A12" s="12" t="s">
        <v>38</v>
      </c>
      <c r="B12" s="11" t="s">
        <v>23</v>
      </c>
      <c r="C12" s="11" t="s">
        <v>24</v>
      </c>
      <c r="D12" s="24">
        <v>0.29913689342410293</v>
      </c>
      <c r="E12" s="24">
        <v>3.3304084397964159E-2</v>
      </c>
      <c r="F12" s="24">
        <v>9.2456214591365368E-3</v>
      </c>
      <c r="G12" s="25">
        <v>1.5912421283130831E-2</v>
      </c>
      <c r="H12" s="26">
        <v>0.20361067152473156</v>
      </c>
      <c r="I12" s="26">
        <v>1.7177495324847556E-2</v>
      </c>
      <c r="J12" s="25">
        <v>8.6938802147586453E-2</v>
      </c>
      <c r="K12" s="25">
        <v>8.3759242359529543E-2</v>
      </c>
      <c r="L12" s="27">
        <v>2.3921798908851596E-2</v>
      </c>
      <c r="M12" s="27">
        <v>4.4795324482696311E-2</v>
      </c>
      <c r="N12" s="24">
        <v>8.3540687143298265E-2</v>
      </c>
      <c r="O12" s="24">
        <v>8.0833962039616153E-2</v>
      </c>
      <c r="P12" s="28">
        <v>5.5660181959631481E-2</v>
      </c>
      <c r="Q12" s="24">
        <v>0.17619347519884862</v>
      </c>
      <c r="R12" s="24">
        <v>0.11136081755679084</v>
      </c>
      <c r="S12" s="28">
        <v>0.15313163006667665</v>
      </c>
      <c r="T12" s="35">
        <f t="shared" si="0"/>
        <v>1.4785231092774394</v>
      </c>
      <c r="U12" s="29"/>
      <c r="V12" s="29"/>
      <c r="W12" s="29"/>
    </row>
    <row r="13" spans="1:23" ht="18.600000000000001" customHeight="1" x14ac:dyDescent="0.25">
      <c r="A13" s="12" t="s">
        <v>38</v>
      </c>
      <c r="B13" s="11" t="s">
        <v>23</v>
      </c>
      <c r="C13" s="11" t="s">
        <v>25</v>
      </c>
      <c r="D13" s="24">
        <v>0.46386347264698186</v>
      </c>
      <c r="E13" s="24">
        <v>6.5177217215840702E-2</v>
      </c>
      <c r="F13" s="24">
        <v>3.5128606869959847E-2</v>
      </c>
      <c r="G13" s="25">
        <v>4.9642305914110452E-2</v>
      </c>
      <c r="H13" s="26">
        <v>0.52181476641534263</v>
      </c>
      <c r="I13" s="26">
        <v>6.1786024289949955E-2</v>
      </c>
      <c r="J13" s="25">
        <v>0.23407257837470033</v>
      </c>
      <c r="K13" s="25">
        <v>0.2107286719094664</v>
      </c>
      <c r="L13" s="27">
        <v>4.7901376154630658E-2</v>
      </c>
      <c r="M13" s="27">
        <v>7.7113898748631837E-2</v>
      </c>
      <c r="N13" s="24">
        <v>0.24997710950174823</v>
      </c>
      <c r="O13" s="24">
        <v>0.24253324214444016</v>
      </c>
      <c r="P13" s="28">
        <v>0.17657497615945142</v>
      </c>
      <c r="Q13" s="24">
        <v>0.33968040850218495</v>
      </c>
      <c r="R13" s="24">
        <v>0.27869975161734861</v>
      </c>
      <c r="S13" s="28">
        <v>0.19838179507067777</v>
      </c>
      <c r="T13" s="35">
        <f t="shared" si="0"/>
        <v>3.2530762015354662</v>
      </c>
      <c r="U13" s="29"/>
      <c r="V13" s="29"/>
      <c r="W13" s="29"/>
    </row>
    <row r="14" spans="1:23" ht="18.600000000000001" customHeight="1" x14ac:dyDescent="0.25">
      <c r="A14" s="12" t="s">
        <v>39</v>
      </c>
      <c r="B14" s="11" t="s">
        <v>21</v>
      </c>
      <c r="C14" s="11" t="s">
        <v>24</v>
      </c>
      <c r="D14" s="24">
        <v>3.5838218382112326E-2</v>
      </c>
      <c r="E14" s="24">
        <v>2.520422274310145E-2</v>
      </c>
      <c r="F14" s="24">
        <v>2.3848637804517812E-2</v>
      </c>
      <c r="G14" s="25">
        <v>6.5173876448642976E-2</v>
      </c>
      <c r="H14" s="26">
        <v>0.57757354398924188</v>
      </c>
      <c r="I14" s="26">
        <v>6.0950764930824644E-2</v>
      </c>
      <c r="J14" s="25">
        <v>0.23495571067466428</v>
      </c>
      <c r="K14" s="25">
        <v>0.20310088508085508</v>
      </c>
      <c r="L14" s="27">
        <v>2.395226835074438E-2</v>
      </c>
      <c r="M14" s="27">
        <v>4.9075226751461101E-2</v>
      </c>
      <c r="N14" s="24">
        <v>3.9488746546556826E-2</v>
      </c>
      <c r="O14" s="24">
        <v>3.1396181337097644E-2</v>
      </c>
      <c r="P14" s="28">
        <v>1.3802684166080702E-2</v>
      </c>
      <c r="Q14" s="24">
        <v>6.9186154281991458E-2</v>
      </c>
      <c r="R14" s="24">
        <v>4.749581105637609E-2</v>
      </c>
      <c r="S14" s="28">
        <v>5.7567788118350435E-2</v>
      </c>
      <c r="T14" s="35">
        <f t="shared" si="0"/>
        <v>1.5586107206626192</v>
      </c>
      <c r="U14" s="29"/>
      <c r="V14" s="29"/>
      <c r="W14" s="29"/>
    </row>
    <row r="15" spans="1:23" ht="18.600000000000001" customHeight="1" x14ac:dyDescent="0.25">
      <c r="A15" s="12" t="s">
        <v>39</v>
      </c>
      <c r="B15" s="11" t="s">
        <v>21</v>
      </c>
      <c r="C15" s="11" t="s">
        <v>25</v>
      </c>
      <c r="D15" s="24">
        <v>0.1386376284298888</v>
      </c>
      <c r="E15" s="24">
        <v>4.9028420007213989E-2</v>
      </c>
      <c r="F15" s="24">
        <v>2.6050734858417759E-2</v>
      </c>
      <c r="G15" s="25">
        <v>0.1230313774593766</v>
      </c>
      <c r="H15" s="26">
        <v>1.0583825777008069</v>
      </c>
      <c r="I15" s="26">
        <v>0.10886576007414148</v>
      </c>
      <c r="J15" s="25">
        <v>0.41526321517902076</v>
      </c>
      <c r="K15" s="25">
        <v>0.35943581213459058</v>
      </c>
      <c r="L15" s="27">
        <v>4.1354243538829015E-2</v>
      </c>
      <c r="M15" s="27">
        <v>9.9427720687314022E-2</v>
      </c>
      <c r="N15" s="24">
        <v>7.8168796278696648E-2</v>
      </c>
      <c r="O15" s="24">
        <v>6.5371619336085485E-2</v>
      </c>
      <c r="P15" s="28">
        <v>3.2167112642645219E-2</v>
      </c>
      <c r="Q15" s="24">
        <v>0.12666493316145602</v>
      </c>
      <c r="R15" s="24">
        <v>8.9783197361097203E-2</v>
      </c>
      <c r="S15" s="28">
        <v>0.10118092408768473</v>
      </c>
      <c r="T15" s="35">
        <f t="shared" si="0"/>
        <v>2.9128140729372656</v>
      </c>
      <c r="U15" s="29"/>
      <c r="V15" s="29"/>
      <c r="W15" s="29"/>
    </row>
    <row r="16" spans="1:23" ht="18.600000000000001" customHeight="1" x14ac:dyDescent="0.25">
      <c r="A16" s="12" t="s">
        <v>39</v>
      </c>
      <c r="B16" s="12" t="s">
        <v>22</v>
      </c>
      <c r="C16" s="11" t="s">
        <v>24</v>
      </c>
      <c r="D16" s="24">
        <v>6.0303679819579986E-2</v>
      </c>
      <c r="E16" s="24">
        <v>3.3090573479841817E-2</v>
      </c>
      <c r="F16" s="24">
        <v>1.1056769204499424E-2</v>
      </c>
      <c r="G16" s="25">
        <v>1.1048080538394556E-2</v>
      </c>
      <c r="H16" s="26">
        <v>0.22193652056511934</v>
      </c>
      <c r="I16" s="26">
        <v>1.8351228823559582E-2</v>
      </c>
      <c r="J16" s="25">
        <v>8.6381441577478055E-2</v>
      </c>
      <c r="K16" s="25">
        <v>8.3222265797624484E-2</v>
      </c>
      <c r="L16" s="27">
        <v>2.2875865337537916E-2</v>
      </c>
      <c r="M16" s="27">
        <v>3.1573955614829959E-2</v>
      </c>
      <c r="N16" s="24">
        <v>2.9059628751399464E-2</v>
      </c>
      <c r="O16" s="24">
        <v>1.8751580913487321E-2</v>
      </c>
      <c r="P16" s="28">
        <v>3.4892561844229342E-2</v>
      </c>
      <c r="Q16" s="24">
        <v>6.8775408888741688E-2</v>
      </c>
      <c r="R16" s="24">
        <v>3.6918770179828683E-2</v>
      </c>
      <c r="S16" s="28">
        <v>0.12017414101680501</v>
      </c>
      <c r="T16" s="35">
        <f t="shared" si="0"/>
        <v>0.88841247235295662</v>
      </c>
      <c r="U16" s="29"/>
      <c r="V16" s="29"/>
      <c r="W16" s="29"/>
    </row>
    <row r="17" spans="1:23" ht="18.600000000000001" customHeight="1" x14ac:dyDescent="0.25">
      <c r="A17" s="12" t="s">
        <v>39</v>
      </c>
      <c r="B17" s="12" t="s">
        <v>22</v>
      </c>
      <c r="C17" s="11" t="s">
        <v>25</v>
      </c>
      <c r="D17" s="24">
        <v>0.15033396759507855</v>
      </c>
      <c r="E17" s="24">
        <v>6.4759369142849868E-2</v>
      </c>
      <c r="F17" s="24">
        <v>2.434721774447543E-2</v>
      </c>
      <c r="G17" s="25">
        <v>4.1789363737029572E-2</v>
      </c>
      <c r="H17" s="26">
        <v>0.55721644708191764</v>
      </c>
      <c r="I17" s="26">
        <v>4.9295991137061616E-2</v>
      </c>
      <c r="J17" s="25">
        <v>0.23257195008782569</v>
      </c>
      <c r="K17" s="25">
        <v>0.20937770030861252</v>
      </c>
      <c r="L17" s="27">
        <v>5.3793396960969506E-2</v>
      </c>
      <c r="M17" s="27">
        <v>7.149303836303729E-2</v>
      </c>
      <c r="N17" s="24">
        <v>0.14886754724610865</v>
      </c>
      <c r="O17" s="24">
        <v>0.175503114478824</v>
      </c>
      <c r="P17" s="28">
        <v>9.5467585271775207E-2</v>
      </c>
      <c r="Q17" s="24">
        <v>0.18425455883039518</v>
      </c>
      <c r="R17" s="24">
        <v>0.14798961548635112</v>
      </c>
      <c r="S17" s="28">
        <v>0.17388631309029895</v>
      </c>
      <c r="T17" s="35">
        <f t="shared" si="0"/>
        <v>2.3809471765626107</v>
      </c>
      <c r="U17" s="29"/>
      <c r="V17" s="29"/>
      <c r="W17" s="29"/>
    </row>
    <row r="18" spans="1:23" ht="18.600000000000001" customHeight="1" x14ac:dyDescent="0.25">
      <c r="A18" s="12" t="s">
        <v>39</v>
      </c>
      <c r="B18" s="11" t="s">
        <v>23</v>
      </c>
      <c r="C18" s="11" t="s">
        <v>24</v>
      </c>
      <c r="D18" s="24">
        <v>0.25507250015407656</v>
      </c>
      <c r="E18" s="24">
        <v>5.6413587060340192E-2</v>
      </c>
      <c r="F18" s="24">
        <v>4.5652113731969313E-2</v>
      </c>
      <c r="G18" s="25">
        <v>0.15918805518633297</v>
      </c>
      <c r="H18" s="26">
        <v>1.4033921856876383</v>
      </c>
      <c r="I18" s="26">
        <v>0.14533798427919842</v>
      </c>
      <c r="J18" s="25">
        <v>0.55281518512024241</v>
      </c>
      <c r="K18" s="25">
        <v>0.49111399149331508</v>
      </c>
      <c r="L18" s="27">
        <v>5.3819028553720928E-2</v>
      </c>
      <c r="M18" s="27">
        <v>0.14062465171809546</v>
      </c>
      <c r="N18" s="24">
        <v>0.27529546299773672</v>
      </c>
      <c r="O18" s="24">
        <v>0.24989524635203067</v>
      </c>
      <c r="P18" s="28">
        <v>0.16683119010290726</v>
      </c>
      <c r="Q18" s="24">
        <v>0.21845249422869439</v>
      </c>
      <c r="R18" s="24">
        <v>0.15984704063548841</v>
      </c>
      <c r="S18" s="28">
        <v>0.19358347117781977</v>
      </c>
      <c r="T18" s="35">
        <f t="shared" si="0"/>
        <v>4.5673341884796077</v>
      </c>
      <c r="U18" s="29"/>
      <c r="V18" s="29"/>
      <c r="W18" s="29"/>
    </row>
    <row r="19" spans="1:23" ht="18.600000000000001" customHeight="1" x14ac:dyDescent="0.25">
      <c r="A19" s="12" t="s">
        <v>39</v>
      </c>
      <c r="B19" s="11" t="s">
        <v>23</v>
      </c>
      <c r="C19" s="11" t="s">
        <v>25</v>
      </c>
      <c r="D19" s="24">
        <v>0.43499540824402505</v>
      </c>
      <c r="E19" s="24">
        <v>2.1772317536897418E-2</v>
      </c>
      <c r="F19" s="24">
        <v>1.2615449022946486E-2</v>
      </c>
      <c r="G19" s="25">
        <v>6.3042652105986238E-2</v>
      </c>
      <c r="H19" s="26">
        <v>0.57968391257140095</v>
      </c>
      <c r="I19" s="26">
        <v>5.1038774158036045E-2</v>
      </c>
      <c r="J19" s="25">
        <v>0.24522697568862439</v>
      </c>
      <c r="K19" s="25">
        <v>0.21925518052852944</v>
      </c>
      <c r="L19" s="27">
        <v>3.2624712740757157E-2</v>
      </c>
      <c r="M19" s="27">
        <v>6.8512949807943521E-2</v>
      </c>
      <c r="N19" s="24">
        <v>6.8562241299774757E-2</v>
      </c>
      <c r="O19" s="24">
        <v>5.1040178872249028E-2</v>
      </c>
      <c r="P19" s="28">
        <v>6.844739824229075E-2</v>
      </c>
      <c r="Q19" s="24">
        <v>9.5990636623561609E-2</v>
      </c>
      <c r="R19" s="24">
        <v>4.291332147322742E-2</v>
      </c>
      <c r="S19" s="28">
        <v>0.10153682805456207</v>
      </c>
      <c r="T19" s="35">
        <f t="shared" si="0"/>
        <v>2.1572589369708122</v>
      </c>
      <c r="U19" s="29"/>
      <c r="V19" s="29"/>
      <c r="W19" s="29"/>
    </row>
    <row r="21" spans="1:23" s="2" customFormat="1" x14ac:dyDescent="0.25">
      <c r="D21" s="17"/>
      <c r="E21" s="17"/>
      <c r="F21" s="4"/>
      <c r="G21" s="5"/>
      <c r="H21" s="9"/>
      <c r="I21" s="9"/>
      <c r="J21" s="5"/>
      <c r="K21" s="5"/>
      <c r="L21" s="6"/>
      <c r="M21" s="6"/>
      <c r="N21" s="4"/>
      <c r="O21" s="4"/>
      <c r="P21" s="10"/>
      <c r="Q21" s="4"/>
      <c r="R21" s="4"/>
      <c r="S21" s="10"/>
      <c r="T21" s="18"/>
      <c r="U21" s="3"/>
      <c r="V21" s="3"/>
      <c r="W21" s="3"/>
    </row>
    <row r="22" spans="1:23" s="2" customFormat="1" x14ac:dyDescent="0.25">
      <c r="D22" s="17"/>
      <c r="E22" s="17"/>
      <c r="F22" s="4"/>
      <c r="G22" s="5"/>
      <c r="H22" s="9"/>
      <c r="I22" s="9"/>
      <c r="J22" s="5"/>
      <c r="K22" s="5"/>
      <c r="L22" s="6"/>
      <c r="M22" s="6"/>
      <c r="N22" s="4"/>
      <c r="O22" s="4"/>
      <c r="P22" s="10"/>
      <c r="Q22" s="4"/>
      <c r="R22" s="4"/>
      <c r="S22" s="10"/>
      <c r="T22" s="18"/>
      <c r="U22" s="3"/>
      <c r="V22" s="3"/>
      <c r="W22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HP</vt:lpstr>
      <vt:lpstr>QN</vt:lpstr>
      <vt:lpstr>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Phương</dc:creator>
  <cp:lastModifiedBy>PHAN, Anh/ファン　アン</cp:lastModifiedBy>
  <cp:lastPrinted>2025-11-10T00:59:46Z</cp:lastPrinted>
  <dcterms:created xsi:type="dcterms:W3CDTF">2025-09-30T07:20:42Z</dcterms:created>
  <dcterms:modified xsi:type="dcterms:W3CDTF">2025-11-20T06:33:18Z</dcterms:modified>
</cp:coreProperties>
</file>