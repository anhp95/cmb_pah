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88A6230-8925-4DA2-B494-24662C6D3724}" xr6:coauthVersionLast="47" xr6:coauthVersionMax="47" xr10:uidLastSave="{00000000-0000-0000-0000-000000000000}"/>
  <bookViews>
    <workbookView xWindow="-110" yWindow="-110" windowWidth="19420" windowHeight="10660" activeTab="1" xr2:uid="{00000000-000D-0000-FFFF-FFFF00000000}"/>
  </bookViews>
  <sheets>
    <sheet name="Sheet1" sheetId="1" r:id="rId1"/>
    <sheet name="Tinh toan VOCs-Final (14112025)" sheetId="8" r:id="rId2"/>
  </sheets>
  <definedNames>
    <definedName name="_xlnm._FilterDatabase" localSheetId="1" hidden="1">'Tinh toan VOCs-Final (14112025)'!$A$3:$AB$120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1" i="8" l="1"/>
  <c r="Y53" i="8"/>
  <c r="U68" i="8"/>
  <c r="V68" i="8" s="1"/>
  <c r="R87" i="8"/>
  <c r="S87" i="8" s="1"/>
  <c r="R67" i="8"/>
  <c r="R20" i="8"/>
  <c r="S20" i="8" s="1"/>
  <c r="R39" i="8"/>
  <c r="S39" i="8" s="1"/>
  <c r="R38" i="8"/>
  <c r="S38" i="8" s="1"/>
  <c r="R37" i="8"/>
  <c r="R120" i="8"/>
  <c r="S120" i="8" s="1"/>
  <c r="R119" i="8"/>
  <c r="S119" i="8" s="1"/>
  <c r="R118" i="8"/>
  <c r="S118" i="8" s="1"/>
  <c r="R111" i="8"/>
  <c r="S111" i="8" s="1"/>
  <c r="R110" i="8"/>
  <c r="R109" i="8"/>
  <c r="S109" i="8" s="1"/>
  <c r="R84" i="8"/>
  <c r="R83" i="8"/>
  <c r="R75" i="8"/>
  <c r="R66" i="8"/>
  <c r="S66" i="8" s="1"/>
  <c r="R65" i="8"/>
  <c r="R64" i="8"/>
  <c r="S64" i="8" s="1"/>
  <c r="R57" i="8"/>
  <c r="S57" i="8" s="1"/>
  <c r="R55" i="8"/>
  <c r="S55" i="8" s="1"/>
  <c r="R29" i="8"/>
  <c r="R28" i="8"/>
  <c r="R21" i="8"/>
  <c r="S21" i="8" s="1"/>
  <c r="R12" i="8"/>
  <c r="R11" i="8"/>
  <c r="R4" i="8"/>
  <c r="S4" i="8" s="1"/>
  <c r="AA120" i="8"/>
  <c r="AB120" i="8" s="1"/>
  <c r="Y120" i="8"/>
  <c r="U120" i="8"/>
  <c r="V120" i="8" s="1"/>
  <c r="O120" i="8"/>
  <c r="AA119" i="8"/>
  <c r="AB119" i="8" s="1"/>
  <c r="Y119" i="8"/>
  <c r="U119" i="8"/>
  <c r="V119" i="8" s="1"/>
  <c r="O119" i="8"/>
  <c r="P119" i="8" s="1"/>
  <c r="AA118" i="8"/>
  <c r="AB118" i="8" s="1"/>
  <c r="Y118" i="8"/>
  <c r="U118" i="8"/>
  <c r="V118" i="8" s="1"/>
  <c r="O118" i="8"/>
  <c r="P118" i="8" s="1"/>
  <c r="AA117" i="8"/>
  <c r="AB117" i="8" s="1"/>
  <c r="Y117" i="8"/>
  <c r="U117" i="8"/>
  <c r="V117" i="8" s="1"/>
  <c r="R117" i="8"/>
  <c r="O117" i="8"/>
  <c r="P117" i="8" s="1"/>
  <c r="AA116" i="8"/>
  <c r="AB116" i="8" s="1"/>
  <c r="Y116" i="8"/>
  <c r="U116" i="8"/>
  <c r="V116" i="8" s="1"/>
  <c r="R116" i="8"/>
  <c r="S116" i="8" s="1"/>
  <c r="O116" i="8"/>
  <c r="P116" i="8" s="1"/>
  <c r="AA115" i="8"/>
  <c r="AB115" i="8" s="1"/>
  <c r="Y115" i="8"/>
  <c r="U115" i="8"/>
  <c r="V115" i="8" s="1"/>
  <c r="R115" i="8"/>
  <c r="S115" i="8" s="1"/>
  <c r="O115" i="8"/>
  <c r="P115" i="8" s="1"/>
  <c r="AA114" i="8"/>
  <c r="AB114" i="8" s="1"/>
  <c r="Y114" i="8"/>
  <c r="U114" i="8"/>
  <c r="V114" i="8" s="1"/>
  <c r="R114" i="8"/>
  <c r="S114" i="8" s="1"/>
  <c r="O114" i="8"/>
  <c r="P114" i="8" s="1"/>
  <c r="AA113" i="8"/>
  <c r="AB113" i="8" s="1"/>
  <c r="Y113" i="8"/>
  <c r="U113" i="8"/>
  <c r="V113" i="8" s="1"/>
  <c r="R113" i="8"/>
  <c r="S113" i="8" s="1"/>
  <c r="O113" i="8"/>
  <c r="P113" i="8" s="1"/>
  <c r="AA112" i="8"/>
  <c r="AB112" i="8" s="1"/>
  <c r="Y112" i="8"/>
  <c r="U112" i="8"/>
  <c r="V112" i="8" s="1"/>
  <c r="R112" i="8"/>
  <c r="S112" i="8" s="1"/>
  <c r="O112" i="8"/>
  <c r="P112" i="8" s="1"/>
  <c r="AA111" i="8"/>
  <c r="AB111" i="8" s="1"/>
  <c r="Y111" i="8"/>
  <c r="U111" i="8"/>
  <c r="V111" i="8" s="1"/>
  <c r="O111" i="8"/>
  <c r="P111" i="8" s="1"/>
  <c r="AA110" i="8"/>
  <c r="AB110" i="8" s="1"/>
  <c r="Y110" i="8"/>
  <c r="U110" i="8"/>
  <c r="V110" i="8" s="1"/>
  <c r="O110" i="8"/>
  <c r="P110" i="8" s="1"/>
  <c r="AA109" i="8"/>
  <c r="AB109" i="8" s="1"/>
  <c r="Y109" i="8"/>
  <c r="U109" i="8"/>
  <c r="V109" i="8" s="1"/>
  <c r="O109" i="8"/>
  <c r="P109" i="8" s="1"/>
  <c r="AA108" i="8"/>
  <c r="AB108" i="8" s="1"/>
  <c r="Y108" i="8"/>
  <c r="U108" i="8"/>
  <c r="V108" i="8" s="1"/>
  <c r="R108" i="8"/>
  <c r="S108" i="8" s="1"/>
  <c r="O108" i="8"/>
  <c r="P108" i="8" s="1"/>
  <c r="AA107" i="8"/>
  <c r="AB107" i="8" s="1"/>
  <c r="Y107" i="8"/>
  <c r="U107" i="8"/>
  <c r="V107" i="8" s="1"/>
  <c r="R107" i="8"/>
  <c r="S107" i="8" s="1"/>
  <c r="O107" i="8"/>
  <c r="P107" i="8" s="1"/>
  <c r="AA106" i="8"/>
  <c r="AB106" i="8" s="1"/>
  <c r="Y106" i="8"/>
  <c r="U106" i="8"/>
  <c r="V106" i="8" s="1"/>
  <c r="R106" i="8"/>
  <c r="O106" i="8"/>
  <c r="P106" i="8" s="1"/>
  <c r="AA105" i="8"/>
  <c r="AB105" i="8" s="1"/>
  <c r="Y105" i="8"/>
  <c r="U105" i="8"/>
  <c r="V105" i="8" s="1"/>
  <c r="R105" i="8"/>
  <c r="S105" i="8" s="1"/>
  <c r="O105" i="8"/>
  <c r="P105" i="8" s="1"/>
  <c r="AA104" i="8"/>
  <c r="AB104" i="8" s="1"/>
  <c r="Y104" i="8"/>
  <c r="U104" i="8"/>
  <c r="V104" i="8" s="1"/>
  <c r="R104" i="8"/>
  <c r="O104" i="8"/>
  <c r="P104" i="8" s="1"/>
  <c r="AA103" i="8"/>
  <c r="AB103" i="8" s="1"/>
  <c r="Y103" i="8"/>
  <c r="U103" i="8"/>
  <c r="V103" i="8" s="1"/>
  <c r="R103" i="8"/>
  <c r="O103" i="8"/>
  <c r="P103" i="8" s="1"/>
  <c r="AA102" i="8"/>
  <c r="AB102" i="8" s="1"/>
  <c r="Y102" i="8"/>
  <c r="U102" i="8"/>
  <c r="V102" i="8" s="1"/>
  <c r="R102" i="8"/>
  <c r="S102" i="8" s="1"/>
  <c r="O102" i="8"/>
  <c r="P102" i="8" s="1"/>
  <c r="AA101" i="8"/>
  <c r="AB101" i="8" s="1"/>
  <c r="Y101" i="8"/>
  <c r="U101" i="8"/>
  <c r="V101" i="8" s="1"/>
  <c r="R101" i="8"/>
  <c r="S101" i="8" s="1"/>
  <c r="O101" i="8"/>
  <c r="P101" i="8" s="1"/>
  <c r="AA100" i="8"/>
  <c r="AB100" i="8" s="1"/>
  <c r="Y100" i="8"/>
  <c r="U100" i="8"/>
  <c r="V100" i="8" s="1"/>
  <c r="R100" i="8"/>
  <c r="S100" i="8" s="1"/>
  <c r="O100" i="8"/>
  <c r="P100" i="8" s="1"/>
  <c r="AA99" i="8"/>
  <c r="AB99" i="8" s="1"/>
  <c r="Y99" i="8"/>
  <c r="U99" i="8"/>
  <c r="V99" i="8" s="1"/>
  <c r="R99" i="8"/>
  <c r="O99" i="8"/>
  <c r="P99" i="8" s="1"/>
  <c r="AA98" i="8"/>
  <c r="AB98" i="8" s="1"/>
  <c r="Y98" i="8"/>
  <c r="U98" i="8"/>
  <c r="V98" i="8" s="1"/>
  <c r="R98" i="8"/>
  <c r="O98" i="8"/>
  <c r="AA97" i="8"/>
  <c r="AB97" i="8" s="1"/>
  <c r="Y97" i="8"/>
  <c r="U97" i="8"/>
  <c r="V97" i="8" s="1"/>
  <c r="R97" i="8"/>
  <c r="S97" i="8" s="1"/>
  <c r="O97" i="8"/>
  <c r="P97" i="8" s="1"/>
  <c r="AA96" i="8"/>
  <c r="AB96" i="8" s="1"/>
  <c r="Y96" i="8"/>
  <c r="U96" i="8"/>
  <c r="V96" i="8" s="1"/>
  <c r="R96" i="8"/>
  <c r="O96" i="8"/>
  <c r="P96" i="8" s="1"/>
  <c r="AA95" i="8"/>
  <c r="AB95" i="8" s="1"/>
  <c r="Y95" i="8"/>
  <c r="U95" i="8"/>
  <c r="V95" i="8" s="1"/>
  <c r="R95" i="8"/>
  <c r="O95" i="8"/>
  <c r="P95" i="8" s="1"/>
  <c r="AA94" i="8"/>
  <c r="AB94" i="8" s="1"/>
  <c r="Y94" i="8"/>
  <c r="U94" i="8"/>
  <c r="V94" i="8" s="1"/>
  <c r="R94" i="8"/>
  <c r="S94" i="8" s="1"/>
  <c r="O94" i="8"/>
  <c r="P94" i="8" s="1"/>
  <c r="AA93" i="8"/>
  <c r="AB93" i="8" s="1"/>
  <c r="Y93" i="8"/>
  <c r="U93" i="8"/>
  <c r="V93" i="8" s="1"/>
  <c r="R93" i="8"/>
  <c r="S93" i="8" s="1"/>
  <c r="O93" i="8"/>
  <c r="P93" i="8" s="1"/>
  <c r="AA92" i="8"/>
  <c r="AB92" i="8" s="1"/>
  <c r="Y92" i="8"/>
  <c r="U92" i="8"/>
  <c r="V92" i="8" s="1"/>
  <c r="R92" i="8"/>
  <c r="S92" i="8" s="1"/>
  <c r="O92" i="8"/>
  <c r="P92" i="8" s="1"/>
  <c r="AA91" i="8"/>
  <c r="AB91" i="8" s="1"/>
  <c r="Y91" i="8"/>
  <c r="U91" i="8"/>
  <c r="V91" i="8" s="1"/>
  <c r="R91" i="8"/>
  <c r="S91" i="8" s="1"/>
  <c r="O91" i="8"/>
  <c r="P91" i="8" s="1"/>
  <c r="AA90" i="8"/>
  <c r="AB90" i="8" s="1"/>
  <c r="Y90" i="8"/>
  <c r="U90" i="8"/>
  <c r="V90" i="8" s="1"/>
  <c r="R90" i="8"/>
  <c r="S90" i="8" s="1"/>
  <c r="O90" i="8"/>
  <c r="P90" i="8" s="1"/>
  <c r="AA89" i="8"/>
  <c r="AB89" i="8" s="1"/>
  <c r="Y89" i="8"/>
  <c r="U89" i="8"/>
  <c r="V89" i="8" s="1"/>
  <c r="R89" i="8"/>
  <c r="S89" i="8" s="1"/>
  <c r="O89" i="8"/>
  <c r="P89" i="8" s="1"/>
  <c r="AA88" i="8"/>
  <c r="AB88" i="8" s="1"/>
  <c r="Y88" i="8"/>
  <c r="U88" i="8"/>
  <c r="V88" i="8" s="1"/>
  <c r="R88" i="8"/>
  <c r="S88" i="8" s="1"/>
  <c r="O88" i="8"/>
  <c r="P88" i="8" s="1"/>
  <c r="AA87" i="8"/>
  <c r="AB87" i="8" s="1"/>
  <c r="Y87" i="8"/>
  <c r="U87" i="8"/>
  <c r="V87" i="8" s="1"/>
  <c r="O87" i="8"/>
  <c r="P87" i="8" s="1"/>
  <c r="AA86" i="8"/>
  <c r="AB86" i="8" s="1"/>
  <c r="Y86" i="8"/>
  <c r="U86" i="8"/>
  <c r="V86" i="8" s="1"/>
  <c r="R86" i="8"/>
  <c r="S86" i="8" s="1"/>
  <c r="O86" i="8"/>
  <c r="P86" i="8" s="1"/>
  <c r="AA85" i="8"/>
  <c r="AB85" i="8" s="1"/>
  <c r="Y85" i="8"/>
  <c r="U85" i="8"/>
  <c r="V85" i="8" s="1"/>
  <c r="R85" i="8"/>
  <c r="S85" i="8" s="1"/>
  <c r="O85" i="8"/>
  <c r="P85" i="8" s="1"/>
  <c r="AA84" i="8"/>
  <c r="AB84" i="8" s="1"/>
  <c r="Y84" i="8"/>
  <c r="U84" i="8"/>
  <c r="V84" i="8" s="1"/>
  <c r="O84" i="8"/>
  <c r="P84" i="8" s="1"/>
  <c r="AA83" i="8"/>
  <c r="AB83" i="8" s="1"/>
  <c r="Y83" i="8"/>
  <c r="U83" i="8"/>
  <c r="V83" i="8" s="1"/>
  <c r="O83" i="8"/>
  <c r="P83" i="8" s="1"/>
  <c r="AA82" i="8"/>
  <c r="AB82" i="8" s="1"/>
  <c r="Y82" i="8"/>
  <c r="U82" i="8"/>
  <c r="V82" i="8" s="1"/>
  <c r="R82" i="8"/>
  <c r="S82" i="8" s="1"/>
  <c r="O82" i="8"/>
  <c r="P82" i="8" s="1"/>
  <c r="AA81" i="8"/>
  <c r="AB81" i="8" s="1"/>
  <c r="Y81" i="8"/>
  <c r="U81" i="8"/>
  <c r="V81" i="8" s="1"/>
  <c r="R81" i="8"/>
  <c r="S81" i="8" s="1"/>
  <c r="O81" i="8"/>
  <c r="P81" i="8" s="1"/>
  <c r="AA80" i="8"/>
  <c r="AB80" i="8" s="1"/>
  <c r="Y80" i="8"/>
  <c r="U80" i="8"/>
  <c r="V80" i="8" s="1"/>
  <c r="R80" i="8"/>
  <c r="S80" i="8" s="1"/>
  <c r="O80" i="8"/>
  <c r="P80" i="8" s="1"/>
  <c r="AA79" i="8"/>
  <c r="AB79" i="8" s="1"/>
  <c r="Y79" i="8"/>
  <c r="U79" i="8"/>
  <c r="V79" i="8" s="1"/>
  <c r="R79" i="8"/>
  <c r="S79" i="8" s="1"/>
  <c r="O79" i="8"/>
  <c r="P79" i="8" s="1"/>
  <c r="AA78" i="8"/>
  <c r="AB78" i="8" s="1"/>
  <c r="Y78" i="8"/>
  <c r="U78" i="8"/>
  <c r="V78" i="8" s="1"/>
  <c r="R78" i="8"/>
  <c r="S78" i="8" s="1"/>
  <c r="O78" i="8"/>
  <c r="P78" i="8" s="1"/>
  <c r="AA77" i="8"/>
  <c r="AB77" i="8" s="1"/>
  <c r="Y77" i="8"/>
  <c r="U77" i="8"/>
  <c r="V77" i="8" s="1"/>
  <c r="R77" i="8"/>
  <c r="S77" i="8" s="1"/>
  <c r="O77" i="8"/>
  <c r="P77" i="8" s="1"/>
  <c r="AA76" i="8"/>
  <c r="AB76" i="8" s="1"/>
  <c r="Y76" i="8"/>
  <c r="U76" i="8"/>
  <c r="V76" i="8" s="1"/>
  <c r="R76" i="8"/>
  <c r="S76" i="8" s="1"/>
  <c r="O76" i="8"/>
  <c r="P76" i="8" s="1"/>
  <c r="AA75" i="8"/>
  <c r="AB75" i="8" s="1"/>
  <c r="Y75" i="8"/>
  <c r="U75" i="8"/>
  <c r="V75" i="8" s="1"/>
  <c r="O75" i="8"/>
  <c r="AA74" i="8"/>
  <c r="AB74" i="8" s="1"/>
  <c r="Y74" i="8"/>
  <c r="U74" i="8"/>
  <c r="V74" i="8" s="1"/>
  <c r="R74" i="8"/>
  <c r="S74" i="8" s="1"/>
  <c r="O74" i="8"/>
  <c r="P74" i="8" s="1"/>
  <c r="AA73" i="8"/>
  <c r="AB73" i="8" s="1"/>
  <c r="Y73" i="8"/>
  <c r="U73" i="8"/>
  <c r="V73" i="8" s="1"/>
  <c r="R73" i="8"/>
  <c r="S73" i="8" s="1"/>
  <c r="O73" i="8"/>
  <c r="P73" i="8" s="1"/>
  <c r="AA72" i="8"/>
  <c r="AB72" i="8" s="1"/>
  <c r="Y72" i="8"/>
  <c r="U72" i="8"/>
  <c r="V72" i="8" s="1"/>
  <c r="R72" i="8"/>
  <c r="S72" i="8" s="1"/>
  <c r="O72" i="8"/>
  <c r="P72" i="8" s="1"/>
  <c r="AA71" i="8"/>
  <c r="AB71" i="8" s="1"/>
  <c r="Y71" i="8"/>
  <c r="U71" i="8"/>
  <c r="V71" i="8" s="1"/>
  <c r="R71" i="8"/>
  <c r="S71" i="8" s="1"/>
  <c r="O71" i="8"/>
  <c r="P71" i="8" s="1"/>
  <c r="AA70" i="8"/>
  <c r="AB70" i="8" s="1"/>
  <c r="Y70" i="8"/>
  <c r="U70" i="8"/>
  <c r="V70" i="8" s="1"/>
  <c r="R70" i="8"/>
  <c r="S70" i="8" s="1"/>
  <c r="O70" i="8"/>
  <c r="P70" i="8" s="1"/>
  <c r="AA69" i="8"/>
  <c r="AB69" i="8" s="1"/>
  <c r="Y69" i="8"/>
  <c r="U69" i="8"/>
  <c r="V69" i="8" s="1"/>
  <c r="R69" i="8"/>
  <c r="S69" i="8" s="1"/>
  <c r="O69" i="8"/>
  <c r="P69" i="8" s="1"/>
  <c r="AA68" i="8"/>
  <c r="AB68" i="8" s="1"/>
  <c r="Y68" i="8"/>
  <c r="R68" i="8"/>
  <c r="S68" i="8" s="1"/>
  <c r="O68" i="8"/>
  <c r="P68" i="8" s="1"/>
  <c r="AA67" i="8"/>
  <c r="AB67" i="8" s="1"/>
  <c r="Y67" i="8"/>
  <c r="U67" i="8"/>
  <c r="V67" i="8" s="1"/>
  <c r="S67" i="8"/>
  <c r="O67" i="8"/>
  <c r="P67" i="8" s="1"/>
  <c r="AA66" i="8"/>
  <c r="AB66" i="8" s="1"/>
  <c r="Y66" i="8"/>
  <c r="U66" i="8"/>
  <c r="V66" i="8" s="1"/>
  <c r="O66" i="8"/>
  <c r="P66" i="8" s="1"/>
  <c r="AA65" i="8"/>
  <c r="AB65" i="8" s="1"/>
  <c r="Y65" i="8"/>
  <c r="U65" i="8"/>
  <c r="V65" i="8" s="1"/>
  <c r="O65" i="8"/>
  <c r="P65" i="8" s="1"/>
  <c r="AA64" i="8"/>
  <c r="AB64" i="8" s="1"/>
  <c r="Y64" i="8"/>
  <c r="U64" i="8"/>
  <c r="V64" i="8" s="1"/>
  <c r="O64" i="8"/>
  <c r="P64" i="8" s="1"/>
  <c r="AA63" i="8"/>
  <c r="AB63" i="8" s="1"/>
  <c r="Y63" i="8"/>
  <c r="U63" i="8"/>
  <c r="V63" i="8" s="1"/>
  <c r="R63" i="8"/>
  <c r="S63" i="8" s="1"/>
  <c r="O63" i="8"/>
  <c r="P63" i="8" s="1"/>
  <c r="AA62" i="8"/>
  <c r="AB62" i="8" s="1"/>
  <c r="Y62" i="8"/>
  <c r="U62" i="8"/>
  <c r="V62" i="8" s="1"/>
  <c r="R62" i="8"/>
  <c r="S62" i="8" s="1"/>
  <c r="O62" i="8"/>
  <c r="P62" i="8" s="1"/>
  <c r="AA61" i="8"/>
  <c r="AB61" i="8" s="1"/>
  <c r="Y61" i="8"/>
  <c r="U61" i="8"/>
  <c r="V61" i="8" s="1"/>
  <c r="R61" i="8"/>
  <c r="S61" i="8" s="1"/>
  <c r="O61" i="8"/>
  <c r="P61" i="8" s="1"/>
  <c r="AA60" i="8"/>
  <c r="AB60" i="8" s="1"/>
  <c r="Y60" i="8"/>
  <c r="U60" i="8"/>
  <c r="V60" i="8" s="1"/>
  <c r="R60" i="8"/>
  <c r="S60" i="8" s="1"/>
  <c r="O60" i="8"/>
  <c r="P60" i="8" s="1"/>
  <c r="AA59" i="8"/>
  <c r="AB59" i="8" s="1"/>
  <c r="Y59" i="8"/>
  <c r="U59" i="8"/>
  <c r="V59" i="8" s="1"/>
  <c r="R59" i="8"/>
  <c r="S59" i="8" s="1"/>
  <c r="O59" i="8"/>
  <c r="P59" i="8" s="1"/>
  <c r="AA58" i="8"/>
  <c r="AB58" i="8" s="1"/>
  <c r="Y58" i="8"/>
  <c r="U58" i="8"/>
  <c r="V58" i="8" s="1"/>
  <c r="R58" i="8"/>
  <c r="S58" i="8" s="1"/>
  <c r="O58" i="8"/>
  <c r="P58" i="8" s="1"/>
  <c r="AA57" i="8"/>
  <c r="AB57" i="8" s="1"/>
  <c r="Y57" i="8"/>
  <c r="U57" i="8"/>
  <c r="V57" i="8" s="1"/>
  <c r="O57" i="8"/>
  <c r="P57" i="8" s="1"/>
  <c r="AA56" i="8"/>
  <c r="AB56" i="8" s="1"/>
  <c r="Y56" i="8"/>
  <c r="U56" i="8"/>
  <c r="V56" i="8" s="1"/>
  <c r="R56" i="8"/>
  <c r="S56" i="8" s="1"/>
  <c r="O56" i="8"/>
  <c r="AA55" i="8"/>
  <c r="AB55" i="8" s="1"/>
  <c r="Y55" i="8"/>
  <c r="U55" i="8"/>
  <c r="V55" i="8" s="1"/>
  <c r="O55" i="8"/>
  <c r="P55" i="8" s="1"/>
  <c r="AA54" i="8"/>
  <c r="AB54" i="8" s="1"/>
  <c r="Y54" i="8"/>
  <c r="U54" i="8"/>
  <c r="V54" i="8" s="1"/>
  <c r="R54" i="8"/>
  <c r="S54" i="8" s="1"/>
  <c r="O54" i="8"/>
  <c r="P54" i="8" s="1"/>
  <c r="AA53" i="8"/>
  <c r="AB53" i="8" s="1"/>
  <c r="U53" i="8"/>
  <c r="V53" i="8" s="1"/>
  <c r="R53" i="8"/>
  <c r="S53" i="8" s="1"/>
  <c r="O53" i="8"/>
  <c r="P53" i="8" s="1"/>
  <c r="AA52" i="8"/>
  <c r="AB52" i="8" s="1"/>
  <c r="Y52" i="8"/>
  <c r="U52" i="8"/>
  <c r="V52" i="8" s="1"/>
  <c r="R52" i="8"/>
  <c r="S52" i="8" s="1"/>
  <c r="O52" i="8"/>
  <c r="P52" i="8" s="1"/>
  <c r="AA51" i="8"/>
  <c r="AB51" i="8" s="1"/>
  <c r="Y51" i="8"/>
  <c r="U51" i="8"/>
  <c r="V51" i="8" s="1"/>
  <c r="R51" i="8"/>
  <c r="S51" i="8" s="1"/>
  <c r="O51" i="8"/>
  <c r="P51" i="8" s="1"/>
  <c r="AA50" i="8"/>
  <c r="AB50" i="8" s="1"/>
  <c r="Y50" i="8"/>
  <c r="U50" i="8"/>
  <c r="V50" i="8" s="1"/>
  <c r="R50" i="8"/>
  <c r="S50" i="8" s="1"/>
  <c r="O50" i="8"/>
  <c r="P50" i="8" s="1"/>
  <c r="AA49" i="8"/>
  <c r="AB49" i="8" s="1"/>
  <c r="Y49" i="8"/>
  <c r="U49" i="8"/>
  <c r="V49" i="8" s="1"/>
  <c r="R49" i="8"/>
  <c r="S49" i="8" s="1"/>
  <c r="O49" i="8"/>
  <c r="P49" i="8" s="1"/>
  <c r="AA48" i="8"/>
  <c r="AB48" i="8" s="1"/>
  <c r="Y48" i="8"/>
  <c r="U48" i="8"/>
  <c r="V48" i="8" s="1"/>
  <c r="R48" i="8"/>
  <c r="O48" i="8"/>
  <c r="P48" i="8" s="1"/>
  <c r="AA47" i="8"/>
  <c r="AB47" i="8" s="1"/>
  <c r="Y47" i="8"/>
  <c r="U47" i="8"/>
  <c r="V47" i="8" s="1"/>
  <c r="R47" i="8"/>
  <c r="S47" i="8" s="1"/>
  <c r="O47" i="8"/>
  <c r="P47" i="8" s="1"/>
  <c r="AA46" i="8"/>
  <c r="AB46" i="8" s="1"/>
  <c r="Y46" i="8"/>
  <c r="U46" i="8"/>
  <c r="V46" i="8" s="1"/>
  <c r="R46" i="8"/>
  <c r="O46" i="8"/>
  <c r="P46" i="8" s="1"/>
  <c r="AA45" i="8"/>
  <c r="AB45" i="8" s="1"/>
  <c r="Y45" i="8"/>
  <c r="U45" i="8"/>
  <c r="V45" i="8" s="1"/>
  <c r="R45" i="8"/>
  <c r="S45" i="8" s="1"/>
  <c r="O45" i="8"/>
  <c r="P45" i="8" s="1"/>
  <c r="AA44" i="8"/>
  <c r="AB44" i="8" s="1"/>
  <c r="Y44" i="8"/>
  <c r="U44" i="8"/>
  <c r="V44" i="8" s="1"/>
  <c r="R44" i="8"/>
  <c r="S44" i="8" s="1"/>
  <c r="O44" i="8"/>
  <c r="P44" i="8" s="1"/>
  <c r="AA43" i="8"/>
  <c r="AB43" i="8" s="1"/>
  <c r="Y43" i="8"/>
  <c r="U43" i="8"/>
  <c r="V43" i="8" s="1"/>
  <c r="R43" i="8"/>
  <c r="S43" i="8" s="1"/>
  <c r="O43" i="8"/>
  <c r="P43" i="8" s="1"/>
  <c r="AA42" i="8"/>
  <c r="AB42" i="8" s="1"/>
  <c r="Y42" i="8"/>
  <c r="U42" i="8"/>
  <c r="V42" i="8" s="1"/>
  <c r="R42" i="8"/>
  <c r="S42" i="8" s="1"/>
  <c r="O42" i="8"/>
  <c r="P42" i="8" s="1"/>
  <c r="AA41" i="8"/>
  <c r="AB41" i="8" s="1"/>
  <c r="Y41" i="8"/>
  <c r="U41" i="8"/>
  <c r="V41" i="8" s="1"/>
  <c r="R41" i="8"/>
  <c r="S41" i="8" s="1"/>
  <c r="O41" i="8"/>
  <c r="P41" i="8" s="1"/>
  <c r="AA40" i="8"/>
  <c r="AB40" i="8" s="1"/>
  <c r="Y40" i="8"/>
  <c r="U40" i="8"/>
  <c r="V40" i="8" s="1"/>
  <c r="R40" i="8"/>
  <c r="S40" i="8" s="1"/>
  <c r="O40" i="8"/>
  <c r="P40" i="8" s="1"/>
  <c r="AA39" i="8"/>
  <c r="AB39" i="8" s="1"/>
  <c r="Y39" i="8"/>
  <c r="U39" i="8"/>
  <c r="V39" i="8" s="1"/>
  <c r="O39" i="8"/>
  <c r="P39" i="8" s="1"/>
  <c r="AA38" i="8"/>
  <c r="AB38" i="8" s="1"/>
  <c r="Y38" i="8"/>
  <c r="U38" i="8"/>
  <c r="V38" i="8" s="1"/>
  <c r="O38" i="8"/>
  <c r="P38" i="8" s="1"/>
  <c r="AA37" i="8"/>
  <c r="AB37" i="8" s="1"/>
  <c r="Y37" i="8"/>
  <c r="U37" i="8"/>
  <c r="V37" i="8" s="1"/>
  <c r="O37" i="8"/>
  <c r="P37" i="8" s="1"/>
  <c r="AA36" i="8"/>
  <c r="AB36" i="8" s="1"/>
  <c r="Y36" i="8"/>
  <c r="U36" i="8"/>
  <c r="V36" i="8" s="1"/>
  <c r="R36" i="8"/>
  <c r="S36" i="8" s="1"/>
  <c r="O36" i="8"/>
  <c r="P36" i="8" s="1"/>
  <c r="AA35" i="8"/>
  <c r="AB35" i="8" s="1"/>
  <c r="Y35" i="8"/>
  <c r="U35" i="8"/>
  <c r="V35" i="8" s="1"/>
  <c r="R35" i="8"/>
  <c r="S35" i="8" s="1"/>
  <c r="O35" i="8"/>
  <c r="P35" i="8" s="1"/>
  <c r="AA34" i="8"/>
  <c r="AB34" i="8" s="1"/>
  <c r="Y34" i="8"/>
  <c r="U34" i="8"/>
  <c r="V34" i="8" s="1"/>
  <c r="R34" i="8"/>
  <c r="S34" i="8" s="1"/>
  <c r="O34" i="8"/>
  <c r="P34" i="8" s="1"/>
  <c r="AA33" i="8"/>
  <c r="AB33" i="8" s="1"/>
  <c r="Y33" i="8"/>
  <c r="U33" i="8"/>
  <c r="V33" i="8" s="1"/>
  <c r="R33" i="8"/>
  <c r="S33" i="8" s="1"/>
  <c r="O33" i="8"/>
  <c r="P33" i="8" s="1"/>
  <c r="AA32" i="8"/>
  <c r="AB32" i="8" s="1"/>
  <c r="Y32" i="8"/>
  <c r="U32" i="8"/>
  <c r="V32" i="8" s="1"/>
  <c r="R32" i="8"/>
  <c r="S32" i="8" s="1"/>
  <c r="O32" i="8"/>
  <c r="P32" i="8" s="1"/>
  <c r="AA31" i="8"/>
  <c r="AB31" i="8" s="1"/>
  <c r="Y31" i="8"/>
  <c r="U31" i="8"/>
  <c r="V31" i="8" s="1"/>
  <c r="R31" i="8"/>
  <c r="S31" i="8" s="1"/>
  <c r="O31" i="8"/>
  <c r="P31" i="8" s="1"/>
  <c r="AA30" i="8"/>
  <c r="AB30" i="8" s="1"/>
  <c r="Y30" i="8"/>
  <c r="U30" i="8"/>
  <c r="V30" i="8" s="1"/>
  <c r="R30" i="8"/>
  <c r="S30" i="8" s="1"/>
  <c r="O30" i="8"/>
  <c r="AA29" i="8"/>
  <c r="AB29" i="8" s="1"/>
  <c r="Y29" i="8"/>
  <c r="U29" i="8"/>
  <c r="V29" i="8" s="1"/>
  <c r="O29" i="8"/>
  <c r="P29" i="8" s="1"/>
  <c r="AA28" i="8"/>
  <c r="AB28" i="8" s="1"/>
  <c r="Y28" i="8"/>
  <c r="U28" i="8"/>
  <c r="V28" i="8" s="1"/>
  <c r="O28" i="8"/>
  <c r="P28" i="8" s="1"/>
  <c r="AA27" i="8"/>
  <c r="AB27" i="8" s="1"/>
  <c r="Y27" i="8"/>
  <c r="U27" i="8"/>
  <c r="V27" i="8" s="1"/>
  <c r="R27" i="8"/>
  <c r="S27" i="8" s="1"/>
  <c r="O27" i="8"/>
  <c r="P27" i="8" s="1"/>
  <c r="AA26" i="8"/>
  <c r="AB26" i="8" s="1"/>
  <c r="Y26" i="8"/>
  <c r="U26" i="8"/>
  <c r="V26" i="8" s="1"/>
  <c r="R26" i="8"/>
  <c r="S26" i="8" s="1"/>
  <c r="O26" i="8"/>
  <c r="P26" i="8" s="1"/>
  <c r="AA25" i="8"/>
  <c r="AB25" i="8" s="1"/>
  <c r="Y25" i="8"/>
  <c r="U25" i="8"/>
  <c r="V25" i="8" s="1"/>
  <c r="R25" i="8"/>
  <c r="S25" i="8" s="1"/>
  <c r="O25" i="8"/>
  <c r="P25" i="8" s="1"/>
  <c r="AA24" i="8"/>
  <c r="AB24" i="8" s="1"/>
  <c r="Y24" i="8"/>
  <c r="U24" i="8"/>
  <c r="V24" i="8" s="1"/>
  <c r="R24" i="8"/>
  <c r="S24" i="8" s="1"/>
  <c r="O24" i="8"/>
  <c r="P24" i="8" s="1"/>
  <c r="AA23" i="8"/>
  <c r="AB23" i="8" s="1"/>
  <c r="Y23" i="8"/>
  <c r="U23" i="8"/>
  <c r="V23" i="8" s="1"/>
  <c r="R23" i="8"/>
  <c r="S23" i="8" s="1"/>
  <c r="O23" i="8"/>
  <c r="P23" i="8" s="1"/>
  <c r="AA22" i="8"/>
  <c r="AB22" i="8" s="1"/>
  <c r="Y22" i="8"/>
  <c r="U22" i="8"/>
  <c r="V22" i="8" s="1"/>
  <c r="R22" i="8"/>
  <c r="S22" i="8" s="1"/>
  <c r="O22" i="8"/>
  <c r="P22" i="8" s="1"/>
  <c r="AA21" i="8"/>
  <c r="AB21" i="8" s="1"/>
  <c r="U21" i="8"/>
  <c r="V21" i="8" s="1"/>
  <c r="O21" i="8"/>
  <c r="AA20" i="8"/>
  <c r="AB20" i="8" s="1"/>
  <c r="Y20" i="8"/>
  <c r="U20" i="8"/>
  <c r="V20" i="8" s="1"/>
  <c r="O20" i="8"/>
  <c r="P20" i="8" s="1"/>
  <c r="AA19" i="8"/>
  <c r="AB19" i="8" s="1"/>
  <c r="Y19" i="8"/>
  <c r="U19" i="8"/>
  <c r="V19" i="8" s="1"/>
  <c r="R19" i="8"/>
  <c r="O19" i="8"/>
  <c r="P19" i="8" s="1"/>
  <c r="AA18" i="8"/>
  <c r="AB18" i="8" s="1"/>
  <c r="Y18" i="8"/>
  <c r="U18" i="8"/>
  <c r="V18" i="8" s="1"/>
  <c r="R18" i="8"/>
  <c r="S18" i="8" s="1"/>
  <c r="O18" i="8"/>
  <c r="P18" i="8" s="1"/>
  <c r="AA17" i="8"/>
  <c r="AB17" i="8" s="1"/>
  <c r="Y17" i="8"/>
  <c r="U17" i="8"/>
  <c r="V17" i="8" s="1"/>
  <c r="R17" i="8"/>
  <c r="S17" i="8" s="1"/>
  <c r="O17" i="8"/>
  <c r="P17" i="8" s="1"/>
  <c r="AA16" i="8"/>
  <c r="AB16" i="8" s="1"/>
  <c r="Y16" i="8"/>
  <c r="U16" i="8"/>
  <c r="V16" i="8" s="1"/>
  <c r="R16" i="8"/>
  <c r="S16" i="8" s="1"/>
  <c r="O16" i="8"/>
  <c r="P16" i="8" s="1"/>
  <c r="AA15" i="8"/>
  <c r="AB15" i="8" s="1"/>
  <c r="Y15" i="8"/>
  <c r="U15" i="8"/>
  <c r="V15" i="8" s="1"/>
  <c r="R15" i="8"/>
  <c r="S15" i="8" s="1"/>
  <c r="O15" i="8"/>
  <c r="P15" i="8" s="1"/>
  <c r="AA14" i="8"/>
  <c r="AB14" i="8" s="1"/>
  <c r="Y14" i="8"/>
  <c r="U14" i="8"/>
  <c r="V14" i="8" s="1"/>
  <c r="R14" i="8"/>
  <c r="S14" i="8" s="1"/>
  <c r="O14" i="8"/>
  <c r="P14" i="8" s="1"/>
  <c r="AA13" i="8"/>
  <c r="AB13" i="8" s="1"/>
  <c r="Y13" i="8"/>
  <c r="U13" i="8"/>
  <c r="V13" i="8" s="1"/>
  <c r="R13" i="8"/>
  <c r="S13" i="8" s="1"/>
  <c r="O13" i="8"/>
  <c r="P13" i="8" s="1"/>
  <c r="AA12" i="8"/>
  <c r="AB12" i="8" s="1"/>
  <c r="Y12" i="8"/>
  <c r="U12" i="8"/>
  <c r="V12" i="8" s="1"/>
  <c r="O12" i="8"/>
  <c r="AA11" i="8"/>
  <c r="AB11" i="8" s="1"/>
  <c r="Y11" i="8"/>
  <c r="U11" i="8"/>
  <c r="V11" i="8" s="1"/>
  <c r="O11" i="8"/>
  <c r="AA10" i="8"/>
  <c r="AB10" i="8" s="1"/>
  <c r="Y10" i="8"/>
  <c r="U10" i="8"/>
  <c r="V10" i="8" s="1"/>
  <c r="R10" i="8"/>
  <c r="O10" i="8"/>
  <c r="P10" i="8" s="1"/>
  <c r="AA9" i="8"/>
  <c r="AB9" i="8" s="1"/>
  <c r="Y9" i="8"/>
  <c r="U9" i="8"/>
  <c r="V9" i="8" s="1"/>
  <c r="R9" i="8"/>
  <c r="S9" i="8" s="1"/>
  <c r="O9" i="8"/>
  <c r="P9" i="8" s="1"/>
  <c r="AA8" i="8"/>
  <c r="AB8" i="8" s="1"/>
  <c r="Y8" i="8"/>
  <c r="U8" i="8"/>
  <c r="V8" i="8" s="1"/>
  <c r="R8" i="8"/>
  <c r="S8" i="8" s="1"/>
  <c r="O8" i="8"/>
  <c r="P8" i="8" s="1"/>
  <c r="AA7" i="8"/>
  <c r="AB7" i="8" s="1"/>
  <c r="Y7" i="8"/>
  <c r="U7" i="8"/>
  <c r="V7" i="8" s="1"/>
  <c r="R7" i="8"/>
  <c r="S7" i="8" s="1"/>
  <c r="O7" i="8"/>
  <c r="P7" i="8" s="1"/>
  <c r="AA6" i="8"/>
  <c r="AB6" i="8" s="1"/>
  <c r="Y6" i="8"/>
  <c r="U6" i="8"/>
  <c r="V6" i="8" s="1"/>
  <c r="R6" i="8"/>
  <c r="S6" i="8" s="1"/>
  <c r="O6" i="8"/>
  <c r="P6" i="8" s="1"/>
  <c r="AA5" i="8"/>
  <c r="AB5" i="8" s="1"/>
  <c r="Y5" i="8"/>
  <c r="U5" i="8"/>
  <c r="V5" i="8" s="1"/>
  <c r="R5" i="8"/>
  <c r="S5" i="8" s="1"/>
  <c r="O5" i="8"/>
  <c r="P5" i="8" s="1"/>
  <c r="AA4" i="8"/>
  <c r="AB4" i="8" s="1"/>
  <c r="Y4" i="8"/>
  <c r="U4" i="8"/>
  <c r="V4" i="8" s="1"/>
  <c r="O4" i="8"/>
  <c r="P4" i="8" s="1"/>
  <c r="S19" i="8" l="1"/>
  <c r="P75" i="8"/>
  <c r="S98" i="8"/>
  <c r="S106" i="8"/>
  <c r="P120" i="8"/>
  <c r="S28" i="8"/>
  <c r="S83" i="8"/>
  <c r="S95" i="8"/>
  <c r="S103" i="8"/>
  <c r="S29" i="8"/>
  <c r="S84" i="8"/>
  <c r="P21" i="8"/>
  <c r="P11" i="8"/>
  <c r="S48" i="8"/>
  <c r="P30" i="8"/>
  <c r="S96" i="8"/>
  <c r="S104" i="8"/>
  <c r="S117" i="8"/>
  <c r="P98" i="8"/>
  <c r="S99" i="8"/>
  <c r="S11" i="8"/>
  <c r="P12" i="8"/>
  <c r="S10" i="8"/>
  <c r="S37" i="8"/>
  <c r="S75" i="8"/>
  <c r="S110" i="8"/>
  <c r="S12" i="8"/>
  <c r="P56" i="8"/>
  <c r="S65" i="8"/>
  <c r="S46" i="8"/>
  <c r="H3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6" i="1"/>
  <c r="H5" i="1" l="1"/>
  <c r="H4" i="1"/>
</calcChain>
</file>

<file path=xl/sharedStrings.xml><?xml version="1.0" encoding="utf-8"?>
<sst xmlns="http://schemas.openxmlformats.org/spreadsheetml/2006/main" count="657" uniqueCount="285">
  <si>
    <t>No.</t>
  </si>
  <si>
    <t>Name</t>
  </si>
  <si>
    <t>Abs(540.0)</t>
  </si>
  <si>
    <t>Conc(mg/L)</t>
  </si>
  <si>
    <t>Test Time</t>
  </si>
  <si>
    <t>qc 0.5 mg/l</t>
  </si>
  <si>
    <t>0.026</t>
  </si>
  <si>
    <t>0.025</t>
  </si>
  <si>
    <t>qc 2mg/l</t>
  </si>
  <si>
    <t>0.086</t>
  </si>
  <si>
    <t>QN.VT02.0407NO2.01</t>
  </si>
  <si>
    <t>0.054</t>
  </si>
  <si>
    <t>QN.VT02.0407NO2.02</t>
  </si>
  <si>
    <t>0.282</t>
  </si>
  <si>
    <t>QN.VT02.0407NO2.03</t>
  </si>
  <si>
    <t>0.075</t>
  </si>
  <si>
    <t>QN.VT03.0407NO2.01</t>
  </si>
  <si>
    <t>0.040</t>
  </si>
  <si>
    <t>QN.VT03.0407NO2.02</t>
  </si>
  <si>
    <t>0.107</t>
  </si>
  <si>
    <t>QN.VT03.0407NO2.03</t>
  </si>
  <si>
    <t>0.103</t>
  </si>
  <si>
    <t>QN.VT02.0607NO2.01</t>
  </si>
  <si>
    <t>0.062</t>
  </si>
  <si>
    <t>QN.VT02.0607NO2.02</t>
  </si>
  <si>
    <t>0.077</t>
  </si>
  <si>
    <t>QN.VT02.0607NO2.03</t>
  </si>
  <si>
    <t>0.065</t>
  </si>
  <si>
    <t>QN.VT03.0607NO2.01</t>
  </si>
  <si>
    <t>QN.VT03.0607NO2.02</t>
  </si>
  <si>
    <t>0.113</t>
  </si>
  <si>
    <t>QN.VT03.0607NO2.03</t>
  </si>
  <si>
    <t>0.063</t>
  </si>
  <si>
    <t>QN.VT01.0507NO2.01</t>
  </si>
  <si>
    <t>0.102</t>
  </si>
  <si>
    <t>QN.VT01.0507NO2.02</t>
  </si>
  <si>
    <t>0.055</t>
  </si>
  <si>
    <t>QN.VT02.0507NO2.01</t>
  </si>
  <si>
    <t>0.106</t>
  </si>
  <si>
    <t>QN.VT02.0507NO2.02</t>
  </si>
  <si>
    <t>0.074</t>
  </si>
  <si>
    <t>QN.VT02.0507NO2.03</t>
  </si>
  <si>
    <t>0.071</t>
  </si>
  <si>
    <t>QN.VT02.0507NO2.04</t>
  </si>
  <si>
    <t>0.045</t>
  </si>
  <si>
    <t>QN.VT03.0507NO2.01</t>
  </si>
  <si>
    <t>0.088</t>
  </si>
  <si>
    <t>QN.VT03.0507NO2.02</t>
  </si>
  <si>
    <t>0.132</t>
  </si>
  <si>
    <t>HY.VT01.1107.NO2.02</t>
  </si>
  <si>
    <t>0.080</t>
  </si>
  <si>
    <t>HY.VT02.1107.NO2.03</t>
  </si>
  <si>
    <t>0.105</t>
  </si>
  <si>
    <t>HY.VT02.1107.NO2.04</t>
  </si>
  <si>
    <t>0.090</t>
  </si>
  <si>
    <t>HY.VT03.1107.NO2.03</t>
  </si>
  <si>
    <t>0.098</t>
  </si>
  <si>
    <t>HY.VT03.1107.NO2.04</t>
  </si>
  <si>
    <t>HY.VT01.1207.NO2.01</t>
  </si>
  <si>
    <t>HY.VT01.1207.NO2.02</t>
  </si>
  <si>
    <t>0.072</t>
  </si>
  <si>
    <t>HY.VT01.1207.NO2.03</t>
  </si>
  <si>
    <t>0.047</t>
  </si>
  <si>
    <t>HY.VT01.1207.NO2.04</t>
  </si>
  <si>
    <t>HY.VT01.1207.NO2.05</t>
  </si>
  <si>
    <t>0.085</t>
  </si>
  <si>
    <t>HY.VT02.1207.NO2.01</t>
  </si>
  <si>
    <t>0.124</t>
  </si>
  <si>
    <t>HY.VT02.1207.NO2.02</t>
  </si>
  <si>
    <t>HY.VT02.1207.NO2.03</t>
  </si>
  <si>
    <t>0.093</t>
  </si>
  <si>
    <t>HY.VT02.1207.NO2.04</t>
  </si>
  <si>
    <t>0.096</t>
  </si>
  <si>
    <t>HY.VT03.1207.NO2.01</t>
  </si>
  <si>
    <t>0.112</t>
  </si>
  <si>
    <t>HY.VT03.1207.NO2.02</t>
  </si>
  <si>
    <t>HY.VT03.1207.NO2.03</t>
  </si>
  <si>
    <t>0.153</t>
  </si>
  <si>
    <t>HY.VT03.1207.NO2.04</t>
  </si>
  <si>
    <t>0.091</t>
  </si>
  <si>
    <t>HY.VT03.1207.NO2.05</t>
  </si>
  <si>
    <t>0.118</t>
  </si>
  <si>
    <t>H=</t>
  </si>
  <si>
    <t>K=120</t>
  </si>
  <si>
    <t>C ug/m3</t>
  </si>
  <si>
    <t>V (L) =120</t>
  </si>
  <si>
    <t>C=Conc*Vo/V*1000000</t>
  </si>
  <si>
    <t>C= nồng độ thực tế</t>
  </si>
  <si>
    <t>Conc=Nồng độ đo trên máy</t>
  </si>
  <si>
    <t>1000000= hệ số chuyển đổi mg/L sang ug/m3</t>
  </si>
  <si>
    <t>Vo= thể tích dung dịch hấp thụ (0,01 L)</t>
  </si>
  <si>
    <t>V= thể tích lấy mẫu (120 L)</t>
  </si>
  <si>
    <t>STT</t>
  </si>
  <si>
    <t>C mẫu (ug/m3)</t>
  </si>
  <si>
    <t>Nhiệt độ (oC)</t>
  </si>
  <si>
    <t>Áp suất (hPa)</t>
  </si>
  <si>
    <t>BENZENE</t>
  </si>
  <si>
    <t>TOLUEN</t>
  </si>
  <si>
    <t>ETHYL BENZENE</t>
  </si>
  <si>
    <t>XYLENE</t>
  </si>
  <si>
    <t>STYREN</t>
  </si>
  <si>
    <t>V định mức (mL)</t>
  </si>
  <si>
    <t>Thời gian lấy mẫu (P)</t>
  </si>
  <si>
    <t>Lưu lượng lấy mẫu (L/P)</t>
  </si>
  <si>
    <t>C MÁY (mg/l)</t>
  </si>
  <si>
    <t>nền (mg/l)</t>
  </si>
  <si>
    <t>C MẪU (ug/Nm3)</t>
  </si>
  <si>
    <t>Ký hiệu mẫu</t>
  </si>
  <si>
    <t>Vị trí lấy mẫu</t>
  </si>
  <si>
    <t>Thời gian lấy mẫu (Từ …. h đến … h)</t>
  </si>
  <si>
    <t>56 Nguyễn Đức Cảnh, 
P.An Tảo, TP Hưng Yên</t>
  </si>
  <si>
    <t>7h50 - 11h51</t>
  </si>
  <si>
    <t>11h53 - 16h</t>
  </si>
  <si>
    <t>16h02 - 20h02</t>
  </si>
  <si>
    <t>Số 10 Trần Quang Khải, 
P.An Tảo, TP. Hưng Yên</t>
  </si>
  <si>
    <t>8h - 12h</t>
  </si>
  <si>
    <t>12h05 - 16h05</t>
  </si>
  <si>
    <t>16h05 - 20h05</t>
  </si>
  <si>
    <t>Công Viên Nam Hòa, 
Lê Lợi, TP Hưng Yên</t>
  </si>
  <si>
    <t>7h - 11h01</t>
  </si>
  <si>
    <t>11h02 - 15h02</t>
  </si>
  <si>
    <t>15h05 - 19h05</t>
  </si>
  <si>
    <t>5h - 9h</t>
  </si>
  <si>
    <t xml:space="preserve">10h - 14h </t>
  </si>
  <si>
    <t>14h30 - 18h30</t>
  </si>
  <si>
    <t>Hồ Bạch Đằng ( công viên) 
7 Đoàn Kết, P. Ngọc 
Châu, Hải Dương</t>
  </si>
  <si>
    <t>25 Nguyễn Tri Phương, 
Hải Dương</t>
  </si>
  <si>
    <t>12h01 - 16h01</t>
  </si>
  <si>
    <t>16h01 - 20h01</t>
  </si>
  <si>
    <t>Phố Tam Giang giao Đường 
Thanh Niên, P.Trần Phú, 
Hải Dương</t>
  </si>
  <si>
    <t>7h50 - 11h50</t>
  </si>
  <si>
    <t>12h15 - 16h15</t>
  </si>
  <si>
    <t>17h - 21h</t>
  </si>
  <si>
    <t>6h - 10h</t>
  </si>
  <si>
    <t>10h01 - 14h01</t>
  </si>
  <si>
    <t>14h01 - 18h02</t>
  </si>
  <si>
    <t>6h30 - 10h30</t>
  </si>
  <si>
    <t>11h - 15h</t>
  </si>
  <si>
    <t>16h30 - 20h30</t>
  </si>
  <si>
    <t>34 ngõ 37 Nguyễn Văn Cừ, 
Quảng Ninh</t>
  </si>
  <si>
    <t>Ngã tư QL 18 và đường 
Lê Thanh Nghị, Quảng Ninh</t>
  </si>
  <si>
    <t>9h16 - 12h16</t>
  </si>
  <si>
    <t>13h52 - 16h52</t>
  </si>
  <si>
    <t>17h36 - 20h36</t>
  </si>
  <si>
    <t>9h10 - 13h10</t>
  </si>
  <si>
    <t>14h24 - 17h24</t>
  </si>
  <si>
    <t>17h30 - 20h30</t>
  </si>
  <si>
    <t>Công viên Lán Bè, 
Quảng Ninh</t>
  </si>
  <si>
    <t>15h25 - 18h25</t>
  </si>
  <si>
    <t>18h35 - 21h35</t>
  </si>
  <si>
    <t>6h05 - 9h05</t>
  </si>
  <si>
    <t>10h - 13h</t>
  </si>
  <si>
    <t>15h - 18h</t>
  </si>
  <si>
    <t>6h15 - 9h15</t>
  </si>
  <si>
    <t>5h30 - 8h30</t>
  </si>
  <si>
    <t>11h44 - 14h44</t>
  </si>
  <si>
    <t>16h03 - 19h03</t>
  </si>
  <si>
    <t>5h20 - 8h20</t>
  </si>
  <si>
    <t>8h35 - 11h35</t>
  </si>
  <si>
    <t>16h45 - 19h45</t>
  </si>
  <si>
    <t>QN.VT1.0207.VOCs1</t>
  </si>
  <si>
    <t>QN.VT1.0207.VOCs2</t>
  </si>
  <si>
    <t>QN.VT1.0207.VOCs3</t>
  </si>
  <si>
    <t>QN.VT2.0207.VOCs1</t>
  </si>
  <si>
    <t>QN.VT2.0207.VOCs2</t>
  </si>
  <si>
    <t>QN.VT2.0207.VOCs3</t>
  </si>
  <si>
    <t>QN.VT3.0207.VOCs1</t>
  </si>
  <si>
    <t>QN.VT3.0207.VOCs2</t>
  </si>
  <si>
    <t>QN.VT3.0207.VOCs3</t>
  </si>
  <si>
    <t>QN.VT1.0307.VOCs1</t>
  </si>
  <si>
    <t>QN.VT1.0307.VOCs2</t>
  </si>
  <si>
    <t>QN.VT1.0307.VOCs3</t>
  </si>
  <si>
    <t>QN.VT2.0307.VOCs1</t>
  </si>
  <si>
    <t>QN.VT2.0307.VOCs2</t>
  </si>
  <si>
    <t>QN.VT2.0307.VOCs3</t>
  </si>
  <si>
    <t>QN.VT3.0307.VOCs1</t>
  </si>
  <si>
    <t>QN.VT3.0307.VOCs2</t>
  </si>
  <si>
    <t>QN.VT3.0307.VOCs3</t>
  </si>
  <si>
    <t>QN.VT1.0407.VOCs1</t>
  </si>
  <si>
    <t>QN.VT1.0407.VOCs2</t>
  </si>
  <si>
    <t>QN.VT1.0407.VOCs3</t>
  </si>
  <si>
    <t>QN.VT2.0407.VOCs1</t>
  </si>
  <si>
    <t>QN.VT2.0407.VOCs2</t>
  </si>
  <si>
    <t>QN.VT2.0407.VOCs3</t>
  </si>
  <si>
    <t>QN.VT3.0407.VOCs1</t>
  </si>
  <si>
    <t>QN.VT3.0407.VOCs2</t>
  </si>
  <si>
    <t>QN.VT3.0407.VOCs3</t>
  </si>
  <si>
    <t>QN.VT1.0507.VOCs1</t>
  </si>
  <si>
    <t>QN.VT1.0507.VOCs2</t>
  </si>
  <si>
    <t>QN.VT1.0507.VOCs3</t>
  </si>
  <si>
    <t>QN.VT2.0507.VOCs1</t>
  </si>
  <si>
    <t>QN.VT2.0507.VOCs2</t>
  </si>
  <si>
    <t>QN.VT2.0507.VOCs3</t>
  </si>
  <si>
    <t>QN.VT3.0507.VOCs1</t>
  </si>
  <si>
    <t>QN.VT3.0507.VOCs2</t>
  </si>
  <si>
    <t>QN.VT3.0507.VOCs3</t>
  </si>
  <si>
    <t>QN.VT1.0607.VOCs1</t>
  </si>
  <si>
    <t>QN.VT1.0607.VOCs2</t>
  </si>
  <si>
    <t>QN.VT1.0607.VOCs3</t>
  </si>
  <si>
    <t>QN.VT2.0607.VOCs1</t>
  </si>
  <si>
    <t>QN.VT2.0607.VOCs2</t>
  </si>
  <si>
    <t>QN.VT2.0607.VOCs3</t>
  </si>
  <si>
    <t>QN.VT3.0607.VOCs1</t>
  </si>
  <si>
    <t>QN.VT3.0607.VOCs2</t>
  </si>
  <si>
    <t>QN.VT3.0607.VOCs3</t>
  </si>
  <si>
    <t>QN.VT1.0707.VOCs1</t>
  </si>
  <si>
    <t>QN.VT1.0707.VOCs2</t>
  </si>
  <si>
    <t>QN.VT1.0707.VOCs3</t>
  </si>
  <si>
    <t>QN.VT2.0707.VOCs1</t>
  </si>
  <si>
    <t>QN.VT2.0707.VOCs2</t>
  </si>
  <si>
    <t>QN.VT2.0707.VOCs3</t>
  </si>
  <si>
    <t>QN.VT3.0707.VOCs1</t>
  </si>
  <si>
    <t>QN.VT3.0707.VOCs2</t>
  </si>
  <si>
    <t>QN.VT3.0707.VOCs3</t>
  </si>
  <si>
    <t>QN.VT1.0807.VOCs1</t>
  </si>
  <si>
    <t>QN.VT1.0807.VOCs2</t>
  </si>
  <si>
    <t>QN.VT1.0807.VOCs3</t>
  </si>
  <si>
    <t>QN.VT2.0807.VOCs1</t>
  </si>
  <si>
    <t>QN.VT2.0807.VOCs2</t>
  </si>
  <si>
    <t>QN.VT2.0807.VOCs3</t>
  </si>
  <si>
    <t>QN.VT3.0807.VOCs1</t>
  </si>
  <si>
    <t>QN.VT3.0807.VOCs2</t>
  </si>
  <si>
    <t>QN.VT3.0807.VOCs3</t>
  </si>
  <si>
    <t>HY.VT1.1007.VOCs1</t>
  </si>
  <si>
    <t>HY.VT1.1007.VOCs2</t>
  </si>
  <si>
    <t>HY.VT1.1007.VOCs3</t>
  </si>
  <si>
    <t>HY.VT2.1007.VOCs1</t>
  </si>
  <si>
    <t>HY.VT2.1007.VOCs2</t>
  </si>
  <si>
    <t>HY.VT2.1007.VOCs3</t>
  </si>
  <si>
    <t>HY.VT3.1007.VOCs1</t>
  </si>
  <si>
    <t>HY.VT3.1007.VOCs2</t>
  </si>
  <si>
    <t>HY.VT3.1007.VOCs3</t>
  </si>
  <si>
    <t>HY.VT1.1107.VOCs1</t>
  </si>
  <si>
    <t>HY.VT1.1107.VOCs2</t>
  </si>
  <si>
    <t>HY.VT1.1107.VOCs3</t>
  </si>
  <si>
    <t>HY.VT2.1107.VOCs1</t>
  </si>
  <si>
    <t>HY.VT2.1107.VOCs2</t>
  </si>
  <si>
    <t>HY.VT2.1107.VOCs3</t>
  </si>
  <si>
    <t>HY.VT3.1107.VOCs1</t>
  </si>
  <si>
    <t>HY.VT3.1107.VOCs2</t>
  </si>
  <si>
    <t>HY.VT3.1107.VOCs3</t>
  </si>
  <si>
    <t>HY.VT1.1207.VOCs1</t>
  </si>
  <si>
    <t>HY.VT1.1207.VOCs2</t>
  </si>
  <si>
    <t>HY.VT1.1207.VOCs3</t>
  </si>
  <si>
    <t>HY.VT2.1207.VOCs1</t>
  </si>
  <si>
    <t>HY.VT2.1207.VOCs2</t>
  </si>
  <si>
    <t>HY.VT2.1207.VOCs3</t>
  </si>
  <si>
    <t>HY.VT3.1207.VOCs1</t>
  </si>
  <si>
    <t>HY.VT3.1207.VOCs2</t>
  </si>
  <si>
    <t>HY.VT3.1207.VOCs3</t>
  </si>
  <si>
    <t>HD.VT1.1307.VOCs1</t>
  </si>
  <si>
    <t>HD.VT1.1307.VOCs2</t>
  </si>
  <si>
    <t>HD.VT1.1307.VOCs3</t>
  </si>
  <si>
    <t>HD.VT2.1307.VOCs1</t>
  </si>
  <si>
    <t>HD.VT2.1307.VOCs2</t>
  </si>
  <si>
    <t>HD.VT2.1307.VOCs3</t>
  </si>
  <si>
    <t>HD.VT3.1307.VOCs1</t>
  </si>
  <si>
    <t>HD.VT3.1307.VOCs2</t>
  </si>
  <si>
    <t>HD.VT3.1307.VOCs3</t>
  </si>
  <si>
    <t>HD.VT1.1407.VOCs1</t>
  </si>
  <si>
    <t>HD.VT1.1407.VOCs2</t>
  </si>
  <si>
    <t>HD.VT1.1407.VOCs3</t>
  </si>
  <si>
    <t>HD.VT2.1407.VOCs1</t>
  </si>
  <si>
    <t>HD.VT2.1407.VOCs2</t>
  </si>
  <si>
    <t>HD.VT2.1407.VOCs3</t>
  </si>
  <si>
    <t>HD.VT3.1407.VOCs1</t>
  </si>
  <si>
    <t>HD.VT3.1407.VOCs2</t>
  </si>
  <si>
    <t>HD.VT3.1407.VOCs3</t>
  </si>
  <si>
    <t>HD.VT1.1507.VOCs1</t>
  </si>
  <si>
    <t>HD.VT1.1507.VOCs2</t>
  </si>
  <si>
    <t>HD.VT1.1507.VOCs3</t>
  </si>
  <si>
    <t>HD.VT2.1507.VOCs1</t>
  </si>
  <si>
    <t>HD.VT2.1507.VOCs2</t>
  </si>
  <si>
    <t>HD.VT2.1507.VOCs3</t>
  </si>
  <si>
    <t>HD.VT3.1507.VOCs1</t>
  </si>
  <si>
    <t>HD.VT3.1507.VOCs2</t>
  </si>
  <si>
    <t>HD.VT3.1507.VOCs3</t>
  </si>
  <si>
    <t>Weekday</t>
  </si>
  <si>
    <t>Weekend</t>
  </si>
  <si>
    <t>Background</t>
  </si>
  <si>
    <t>morning</t>
  </si>
  <si>
    <t>afternoon</t>
  </si>
  <si>
    <t>evening</t>
  </si>
  <si>
    <t>Residential</t>
  </si>
  <si>
    <t>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</si>
</sst>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4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2" fontId="2" fillId="0" borderId="4" xfId="0" applyNumberFormat="1" applyFont="1" applyBorder="1" applyAlignment="1">
      <alignment vertical="center" wrapText="1"/>
    </xf>
    <xf numFmtId="2" fontId="1" fillId="0" borderId="0" xfId="0" applyNumberFormat="1" applyFont="1"/>
    <xf numFmtId="2" fontId="2" fillId="0" borderId="2" xfId="0" applyNumberFormat="1" applyFont="1" applyBorder="1" applyAlignment="1">
      <alignment vertical="center" wrapText="1"/>
    </xf>
    <xf numFmtId="2" fontId="2" fillId="0" borderId="4" xfId="0" applyNumberFormat="1" applyFont="1" applyBorder="1" applyAlignment="1">
      <alignment vertical="center" wrapText="1"/>
    </xf>
    <xf numFmtId="2" fontId="2" fillId="2" borderId="4" xfId="0" applyNumberFormat="1" applyFont="1" applyFill="1" applyBorder="1" applyAlignment="1">
      <alignment vertical="center" wrapText="1"/>
    </xf>
    <xf numFmtId="164" fontId="1" fillId="0" borderId="0" xfId="0" applyNumberFormat="1" applyFont="1"/>
    <xf numFmtId="164" fontId="2" fillId="0" borderId="2" xfId="0" applyNumberFormat="1" applyFont="1" applyBorder="1" applyAlignment="1">
      <alignment vertical="center" wrapText="1"/>
    </xf>
    <xf numFmtId="164" fontId="2" fillId="2" borderId="4" xfId="0" applyNumberFormat="1" applyFont="1" applyFill="1" applyBorder="1" applyAlignment="1">
      <alignment vertical="center" wrapText="1"/>
    </xf>
    <xf numFmtId="0" fontId="1" fillId="0" borderId="0" xfId="0" quotePrefix="1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3" borderId="0" xfId="0" applyFill="1"/>
    <xf numFmtId="0" fontId="0" fillId="3" borderId="5" xfId="0" applyFill="1" applyBorder="1"/>
    <xf numFmtId="0" fontId="6" fillId="4" borderId="5" xfId="0" applyFont="1" applyFill="1" applyBorder="1" applyAlignment="1">
      <alignment horizontal="center"/>
    </xf>
    <xf numFmtId="0" fontId="5" fillId="4" borderId="5" xfId="0" applyFont="1" applyFill="1" applyBorder="1"/>
    <xf numFmtId="0" fontId="6" fillId="4" borderId="5" xfId="0" applyFont="1" applyFill="1" applyBorder="1"/>
    <xf numFmtId="0" fontId="6" fillId="4" borderId="5" xfId="0" applyFont="1" applyFill="1" applyBorder="1" applyAlignment="1">
      <alignment vertical="center"/>
    </xf>
    <xf numFmtId="2" fontId="7" fillId="4" borderId="5" xfId="0" applyNumberFormat="1" applyFont="1" applyFill="1" applyBorder="1" applyAlignment="1">
      <alignment horizontal="center"/>
    </xf>
    <xf numFmtId="165" fontId="6" fillId="4" borderId="5" xfId="0" applyNumberFormat="1" applyFont="1" applyFill="1" applyBorder="1" applyAlignment="1">
      <alignment horizontal="right" vertical="center" shrinkToFit="1"/>
    </xf>
    <xf numFmtId="165" fontId="6" fillId="4" borderId="5" xfId="0" applyNumberFormat="1" applyFont="1" applyFill="1" applyBorder="1" applyAlignment="1">
      <alignment vertical="center"/>
    </xf>
    <xf numFmtId="2" fontId="7" fillId="4" borderId="5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0" fillId="4" borderId="0" xfId="0" applyFill="1"/>
    <xf numFmtId="165" fontId="6" fillId="4" borderId="5" xfId="0" applyNumberFormat="1" applyFont="1" applyFill="1" applyBorder="1" applyAlignment="1">
      <alignment horizontal="right" vertical="top" shrinkToFit="1"/>
    </xf>
    <xf numFmtId="0" fontId="0" fillId="3" borderId="5" xfId="0" applyFill="1" applyBorder="1" applyAlignment="1">
      <alignment horizontal="center" vertical="center" wrapText="1"/>
    </xf>
    <xf numFmtId="0" fontId="0" fillId="3" borderId="10" xfId="0" applyFill="1" applyBorder="1"/>
    <xf numFmtId="0" fontId="6" fillId="4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5" fillId="3" borderId="5" xfId="0" applyFont="1" applyFill="1" applyBorder="1"/>
    <xf numFmtId="0" fontId="6" fillId="3" borderId="5" xfId="0" applyFont="1" applyFill="1" applyBorder="1"/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vertical="center"/>
    </xf>
    <xf numFmtId="165" fontId="6" fillId="3" borderId="5" xfId="0" applyNumberFormat="1" applyFont="1" applyFill="1" applyBorder="1" applyAlignment="1">
      <alignment horizontal="right" vertical="center" shrinkToFit="1"/>
    </xf>
    <xf numFmtId="2" fontId="7" fillId="3" borderId="5" xfId="0" applyNumberFormat="1" applyFont="1" applyFill="1" applyBorder="1" applyAlignment="1">
      <alignment horizontal="center"/>
    </xf>
    <xf numFmtId="165" fontId="6" fillId="3" borderId="5" xfId="0" applyNumberFormat="1" applyFont="1" applyFill="1" applyBorder="1" applyAlignment="1">
      <alignment vertical="center"/>
    </xf>
    <xf numFmtId="2" fontId="7" fillId="3" borderId="5" xfId="0" applyNumberFormat="1" applyFont="1" applyFill="1" applyBorder="1" applyAlignment="1">
      <alignment horizontal="center" vertical="center"/>
    </xf>
    <xf numFmtId="0" fontId="4" fillId="3" borderId="0" xfId="0" applyFont="1" applyFill="1"/>
    <xf numFmtId="165" fontId="6" fillId="3" borderId="5" xfId="0" applyNumberFormat="1" applyFont="1" applyFill="1" applyBorder="1" applyAlignment="1">
      <alignment horizontal="right" vertical="top" shrinkToFit="1"/>
    </xf>
    <xf numFmtId="165" fontId="6" fillId="3" borderId="5" xfId="0" applyNumberFormat="1" applyFont="1" applyFill="1" applyBorder="1"/>
    <xf numFmtId="2" fontId="6" fillId="3" borderId="5" xfId="0" applyNumberFormat="1" applyFont="1" applyFill="1" applyBorder="1" applyAlignment="1">
      <alignment vertical="center"/>
    </xf>
    <xf numFmtId="165" fontId="6" fillId="3" borderId="5" xfId="0" applyNumberFormat="1" applyFont="1" applyFill="1" applyBorder="1" applyAlignment="1">
      <alignment horizontal="center" vertical="center" shrinkToFit="1"/>
    </xf>
    <xf numFmtId="0" fontId="1" fillId="3" borderId="0" xfId="0" applyFont="1" applyFill="1"/>
    <xf numFmtId="0" fontId="0" fillId="3" borderId="9" xfId="0" applyFill="1" applyBorder="1"/>
    <xf numFmtId="167" fontId="4" fillId="3" borderId="9" xfId="0" applyNumberFormat="1" applyFont="1" applyFill="1" applyBorder="1"/>
    <xf numFmtId="165" fontId="0" fillId="3" borderId="10" xfId="0" applyNumberFormat="1" applyFill="1" applyBorder="1"/>
    <xf numFmtId="2" fontId="0" fillId="3" borderId="10" xfId="0" applyNumberFormat="1" applyFill="1" applyBorder="1"/>
    <xf numFmtId="164" fontId="0" fillId="3" borderId="10" xfId="0" applyNumberFormat="1" applyFill="1" applyBorder="1"/>
    <xf numFmtId="2" fontId="1" fillId="3" borderId="0" xfId="0" applyNumberFormat="1" applyFont="1" applyFill="1"/>
    <xf numFmtId="0" fontId="8" fillId="0" borderId="5" xfId="0" applyFont="1" applyBorder="1"/>
    <xf numFmtId="0" fontId="0" fillId="3" borderId="5" xfId="0" applyFill="1" applyBorder="1" applyAlignment="1">
      <alignment horizontal="center"/>
    </xf>
    <xf numFmtId="0" fontId="6" fillId="3" borderId="5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336A2663-2420-4FCE-80C2-DECF161E2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4"/>
  <sheetViews>
    <sheetView topLeftCell="C1" workbookViewId="0">
      <selection activeCell="L33" sqref="L33"/>
    </sheetView>
  </sheetViews>
  <sheetFormatPr defaultColWidth="13.453125" defaultRowHeight="15.5" x14ac:dyDescent="0.35"/>
  <cols>
    <col min="1" max="1" width="13.453125" style="1"/>
    <col min="2" max="2" width="5.453125" style="13" customWidth="1"/>
    <col min="3" max="3" width="24.1796875" style="1" customWidth="1"/>
    <col min="4" max="4" width="13.453125" style="1"/>
    <col min="5" max="7" width="13.453125" style="5"/>
    <col min="8" max="8" width="15.54296875" style="9" customWidth="1"/>
    <col min="9" max="9" width="20.54296875" style="1" customWidth="1"/>
    <col min="10" max="16384" width="13.453125" style="1"/>
  </cols>
  <sheetData>
    <row r="1" spans="2:10" ht="16" thickBot="1" x14ac:dyDescent="0.4"/>
    <row r="2" spans="2:10" ht="16" thickBot="1" x14ac:dyDescent="0.4">
      <c r="B2" s="14" t="s">
        <v>0</v>
      </c>
      <c r="C2" s="2" t="s">
        <v>1</v>
      </c>
      <c r="D2" s="2" t="s">
        <v>2</v>
      </c>
      <c r="E2" s="6" t="s">
        <v>3</v>
      </c>
      <c r="F2" s="6" t="s">
        <v>85</v>
      </c>
      <c r="G2" s="6" t="s">
        <v>83</v>
      </c>
      <c r="H2" s="10" t="s">
        <v>84</v>
      </c>
      <c r="I2" s="2" t="s">
        <v>4</v>
      </c>
    </row>
    <row r="3" spans="2:10" ht="16" thickBot="1" x14ac:dyDescent="0.4">
      <c r="B3" s="15">
        <v>1</v>
      </c>
      <c r="C3" s="3" t="s">
        <v>5</v>
      </c>
      <c r="D3" s="3" t="s">
        <v>6</v>
      </c>
      <c r="E3" s="7">
        <v>0.52439999999999998</v>
      </c>
      <c r="F3" s="7">
        <v>120</v>
      </c>
      <c r="G3" s="8" t="s">
        <v>82</v>
      </c>
      <c r="H3" s="11">
        <f>E3/0.5*100</f>
        <v>104.88</v>
      </c>
      <c r="I3" s="4">
        <v>45854.415972222225</v>
      </c>
    </row>
    <row r="4" spans="2:10" ht="16" thickBot="1" x14ac:dyDescent="0.4">
      <c r="B4" s="15">
        <v>2</v>
      </c>
      <c r="C4" s="3" t="s">
        <v>5</v>
      </c>
      <c r="D4" s="3" t="s">
        <v>7</v>
      </c>
      <c r="E4" s="7">
        <v>0.49909999999999999</v>
      </c>
      <c r="F4" s="7"/>
      <c r="G4" s="8" t="s">
        <v>82</v>
      </c>
      <c r="H4" s="11">
        <f t="shared" ref="H4" si="0">E4/0.5*100</f>
        <v>99.82</v>
      </c>
      <c r="I4" s="4">
        <v>45854.416666666664</v>
      </c>
      <c r="J4" s="12" t="s">
        <v>86</v>
      </c>
    </row>
    <row r="5" spans="2:10" ht="16" thickBot="1" x14ac:dyDescent="0.4">
      <c r="B5" s="15">
        <v>3</v>
      </c>
      <c r="C5" s="3" t="s">
        <v>8</v>
      </c>
      <c r="D5" s="3" t="s">
        <v>9</v>
      </c>
      <c r="E5" s="7">
        <v>2.0394000000000001</v>
      </c>
      <c r="F5" s="7"/>
      <c r="G5" s="8" t="s">
        <v>82</v>
      </c>
      <c r="H5" s="11">
        <f>E5/2*100</f>
        <v>101.97</v>
      </c>
      <c r="I5" s="4">
        <v>45854.416666666664</v>
      </c>
      <c r="J5" s="1" t="s">
        <v>87</v>
      </c>
    </row>
    <row r="6" spans="2:10" ht="16" thickBot="1" x14ac:dyDescent="0.4">
      <c r="B6" s="15">
        <v>4</v>
      </c>
      <c r="C6" s="3" t="s">
        <v>10</v>
      </c>
      <c r="D6" s="3" t="s">
        <v>11</v>
      </c>
      <c r="E6" s="7">
        <v>1.2314000000000001</v>
      </c>
      <c r="F6" s="7"/>
      <c r="G6" s="7"/>
      <c r="H6" s="7">
        <f>E6*0.01/120*1000000</f>
        <v>102.61666666666666</v>
      </c>
      <c r="I6" s="4">
        <v>45854.418749999997</v>
      </c>
      <c r="J6" s="1" t="s">
        <v>88</v>
      </c>
    </row>
    <row r="7" spans="2:10" ht="16" thickBot="1" x14ac:dyDescent="0.4">
      <c r="B7" s="15">
        <v>5</v>
      </c>
      <c r="C7" s="3" t="s">
        <v>12</v>
      </c>
      <c r="D7" s="3" t="s">
        <v>13</v>
      </c>
      <c r="E7" s="7">
        <v>6.9886999999999997</v>
      </c>
      <c r="F7" s="7"/>
      <c r="G7" s="7"/>
      <c r="H7" s="7">
        <f t="shared" ref="H7:H44" si="1">E7*0.01/120*1000000</f>
        <v>582.39166666666665</v>
      </c>
      <c r="I7" s="4">
        <v>45854.42083333333</v>
      </c>
      <c r="J7" s="1" t="s">
        <v>90</v>
      </c>
    </row>
    <row r="8" spans="2:10" ht="16" thickBot="1" x14ac:dyDescent="0.4">
      <c r="B8" s="15">
        <v>6</v>
      </c>
      <c r="C8" s="3" t="s">
        <v>14</v>
      </c>
      <c r="D8" s="3" t="s">
        <v>15</v>
      </c>
      <c r="E8" s="7">
        <v>1.7617</v>
      </c>
      <c r="F8" s="7"/>
      <c r="G8" s="7"/>
      <c r="H8" s="7">
        <f t="shared" si="1"/>
        <v>146.80833333333334</v>
      </c>
      <c r="I8" s="4">
        <v>45854.424305555556</v>
      </c>
      <c r="J8" s="1" t="s">
        <v>91</v>
      </c>
    </row>
    <row r="9" spans="2:10" ht="16" thickBot="1" x14ac:dyDescent="0.4">
      <c r="B9" s="15">
        <v>7</v>
      </c>
      <c r="C9" s="3" t="s">
        <v>16</v>
      </c>
      <c r="D9" s="3" t="s">
        <v>17</v>
      </c>
      <c r="E9" s="7">
        <v>0.87790000000000001</v>
      </c>
      <c r="F9" s="7"/>
      <c r="G9" s="7"/>
      <c r="H9" s="7">
        <f t="shared" si="1"/>
        <v>73.158333333333346</v>
      </c>
      <c r="I9" s="4">
        <v>45854.425694444442</v>
      </c>
      <c r="J9" s="1" t="s">
        <v>89</v>
      </c>
    </row>
    <row r="10" spans="2:10" ht="16" thickBot="1" x14ac:dyDescent="0.4">
      <c r="B10" s="15">
        <v>8</v>
      </c>
      <c r="C10" s="3" t="s">
        <v>18</v>
      </c>
      <c r="D10" s="3" t="s">
        <v>19</v>
      </c>
      <c r="E10" s="7">
        <v>2.5697000000000001</v>
      </c>
      <c r="F10" s="7"/>
      <c r="G10" s="7"/>
      <c r="H10" s="7">
        <f t="shared" si="1"/>
        <v>214.14166666666665</v>
      </c>
      <c r="I10" s="4">
        <v>45854.426388888889</v>
      </c>
    </row>
    <row r="11" spans="2:10" ht="16" thickBot="1" x14ac:dyDescent="0.4">
      <c r="B11" s="15">
        <v>9</v>
      </c>
      <c r="C11" s="3" t="s">
        <v>20</v>
      </c>
      <c r="D11" s="3" t="s">
        <v>21</v>
      </c>
      <c r="E11" s="7">
        <v>2.4687000000000001</v>
      </c>
      <c r="F11" s="7"/>
      <c r="G11" s="7"/>
      <c r="H11" s="7">
        <f t="shared" si="1"/>
        <v>205.72499999999999</v>
      </c>
      <c r="I11" s="4">
        <v>45854.427083333336</v>
      </c>
    </row>
    <row r="12" spans="2:10" ht="16" thickBot="1" x14ac:dyDescent="0.4">
      <c r="B12" s="15">
        <v>10</v>
      </c>
      <c r="C12" s="3" t="s">
        <v>22</v>
      </c>
      <c r="D12" s="3" t="s">
        <v>23</v>
      </c>
      <c r="E12" s="7">
        <v>1.4334</v>
      </c>
      <c r="F12" s="7"/>
      <c r="G12" s="7"/>
      <c r="H12" s="7">
        <f t="shared" si="1"/>
        <v>119.44999999999999</v>
      </c>
      <c r="I12" s="4">
        <v>45854.428472222222</v>
      </c>
    </row>
    <row r="13" spans="2:10" ht="16" thickBot="1" x14ac:dyDescent="0.4">
      <c r="B13" s="15">
        <v>11</v>
      </c>
      <c r="C13" s="3" t="s">
        <v>24</v>
      </c>
      <c r="D13" s="3" t="s">
        <v>25</v>
      </c>
      <c r="E13" s="7">
        <v>1.8122</v>
      </c>
      <c r="F13" s="7"/>
      <c r="G13" s="7"/>
      <c r="H13" s="7">
        <f t="shared" si="1"/>
        <v>151.01666666666665</v>
      </c>
      <c r="I13" s="4">
        <v>45854.429166666669</v>
      </c>
    </row>
    <row r="14" spans="2:10" ht="16" thickBot="1" x14ac:dyDescent="0.4">
      <c r="B14" s="15">
        <v>12</v>
      </c>
      <c r="C14" s="3" t="s">
        <v>26</v>
      </c>
      <c r="D14" s="3" t="s">
        <v>27</v>
      </c>
      <c r="E14" s="7">
        <v>1.5092000000000001</v>
      </c>
      <c r="F14" s="7"/>
      <c r="G14" s="7"/>
      <c r="H14" s="7">
        <f t="shared" si="1"/>
        <v>125.76666666666667</v>
      </c>
      <c r="I14" s="4">
        <v>45854.429166666669</v>
      </c>
    </row>
    <row r="15" spans="2:10" ht="16" thickBot="1" x14ac:dyDescent="0.4">
      <c r="B15" s="15">
        <v>13</v>
      </c>
      <c r="C15" s="3" t="s">
        <v>28</v>
      </c>
      <c r="D15" s="3" t="s">
        <v>25</v>
      </c>
      <c r="E15" s="7">
        <v>1.8122</v>
      </c>
      <c r="F15" s="7"/>
      <c r="G15" s="7"/>
      <c r="H15" s="7">
        <f t="shared" si="1"/>
        <v>151.01666666666665</v>
      </c>
      <c r="I15" s="4">
        <v>45854.429861111108</v>
      </c>
    </row>
    <row r="16" spans="2:10" ht="16" thickBot="1" x14ac:dyDescent="0.4">
      <c r="B16" s="15">
        <v>14</v>
      </c>
      <c r="C16" s="3" t="s">
        <v>29</v>
      </c>
      <c r="D16" s="3" t="s">
        <v>30</v>
      </c>
      <c r="E16" s="7">
        <v>2.7212000000000001</v>
      </c>
      <c r="F16" s="7"/>
      <c r="G16" s="7"/>
      <c r="H16" s="7">
        <f t="shared" si="1"/>
        <v>226.76666666666665</v>
      </c>
      <c r="I16" s="4">
        <v>45854.430555555555</v>
      </c>
    </row>
    <row r="17" spans="2:9" ht="16" thickBot="1" x14ac:dyDescent="0.4">
      <c r="B17" s="15">
        <v>15</v>
      </c>
      <c r="C17" s="3" t="s">
        <v>31</v>
      </c>
      <c r="D17" s="3" t="s">
        <v>32</v>
      </c>
      <c r="E17" s="7">
        <v>1.4587000000000001</v>
      </c>
      <c r="F17" s="7"/>
      <c r="G17" s="7"/>
      <c r="H17" s="7">
        <f t="shared" si="1"/>
        <v>121.55833333333334</v>
      </c>
      <c r="I17" s="4">
        <v>45854.430555555555</v>
      </c>
    </row>
    <row r="18" spans="2:9" ht="16" thickBot="1" x14ac:dyDescent="0.4">
      <c r="B18" s="15">
        <v>16</v>
      </c>
      <c r="C18" s="3" t="s">
        <v>33</v>
      </c>
      <c r="D18" s="3" t="s">
        <v>34</v>
      </c>
      <c r="E18" s="7">
        <v>2.4434999999999998</v>
      </c>
      <c r="F18" s="7"/>
      <c r="G18" s="7"/>
      <c r="H18" s="7">
        <f t="shared" si="1"/>
        <v>203.62499999999997</v>
      </c>
      <c r="I18" s="4">
        <v>45854.432638888888</v>
      </c>
    </row>
    <row r="19" spans="2:9" ht="16" thickBot="1" x14ac:dyDescent="0.4">
      <c r="B19" s="15">
        <v>17</v>
      </c>
      <c r="C19" s="3" t="s">
        <v>35</v>
      </c>
      <c r="D19" s="3" t="s">
        <v>36</v>
      </c>
      <c r="E19" s="7">
        <v>1.2566999999999999</v>
      </c>
      <c r="F19" s="7"/>
      <c r="G19" s="7"/>
      <c r="H19" s="7">
        <f t="shared" si="1"/>
        <v>104.72499999999999</v>
      </c>
      <c r="I19" s="4">
        <v>45854.432638888888</v>
      </c>
    </row>
    <row r="20" spans="2:9" ht="16" thickBot="1" x14ac:dyDescent="0.4">
      <c r="B20" s="15">
        <v>18</v>
      </c>
      <c r="C20" s="3" t="s">
        <v>37</v>
      </c>
      <c r="D20" s="3" t="s">
        <v>38</v>
      </c>
      <c r="E20" s="7">
        <v>2.5445000000000002</v>
      </c>
      <c r="F20" s="7"/>
      <c r="G20" s="7"/>
      <c r="H20" s="7">
        <f t="shared" si="1"/>
        <v>212.04166666666669</v>
      </c>
      <c r="I20" s="4">
        <v>45854.433333333334</v>
      </c>
    </row>
    <row r="21" spans="2:9" ht="16" thickBot="1" x14ac:dyDescent="0.4">
      <c r="B21" s="15">
        <v>19</v>
      </c>
      <c r="C21" s="3" t="s">
        <v>39</v>
      </c>
      <c r="D21" s="3" t="s">
        <v>40</v>
      </c>
      <c r="E21" s="7">
        <v>1.7363999999999999</v>
      </c>
      <c r="F21" s="7"/>
      <c r="G21" s="7"/>
      <c r="H21" s="7">
        <f t="shared" si="1"/>
        <v>144.70000000000002</v>
      </c>
      <c r="I21" s="4">
        <v>45854.433333333334</v>
      </c>
    </row>
    <row r="22" spans="2:9" ht="16" thickBot="1" x14ac:dyDescent="0.4">
      <c r="B22" s="15">
        <v>20</v>
      </c>
      <c r="C22" s="3" t="s">
        <v>41</v>
      </c>
      <c r="D22" s="3" t="s">
        <v>42</v>
      </c>
      <c r="E22" s="7">
        <v>1.6607000000000001</v>
      </c>
      <c r="F22" s="7"/>
      <c r="G22" s="7"/>
      <c r="H22" s="7">
        <f t="shared" si="1"/>
        <v>138.39166666666665</v>
      </c>
      <c r="I22" s="4">
        <v>45854.43472222222</v>
      </c>
    </row>
    <row r="23" spans="2:9" ht="16" thickBot="1" x14ac:dyDescent="0.4">
      <c r="B23" s="15">
        <v>21</v>
      </c>
      <c r="C23" s="3" t="s">
        <v>43</v>
      </c>
      <c r="D23" s="3" t="s">
        <v>44</v>
      </c>
      <c r="E23" s="7">
        <v>1.0041</v>
      </c>
      <c r="F23" s="7"/>
      <c r="G23" s="7"/>
      <c r="H23" s="7">
        <f t="shared" si="1"/>
        <v>83.674999999999997</v>
      </c>
      <c r="I23" s="4">
        <v>45854.43472222222</v>
      </c>
    </row>
    <row r="24" spans="2:9" ht="16" thickBot="1" x14ac:dyDescent="0.4">
      <c r="B24" s="15">
        <v>22</v>
      </c>
      <c r="C24" s="3" t="s">
        <v>45</v>
      </c>
      <c r="D24" s="3" t="s">
        <v>46</v>
      </c>
      <c r="E24" s="7">
        <v>2.0899000000000001</v>
      </c>
      <c r="F24" s="7"/>
      <c r="G24" s="7"/>
      <c r="H24" s="7">
        <f t="shared" si="1"/>
        <v>174.15833333333333</v>
      </c>
      <c r="I24" s="4">
        <v>45854.436111111114</v>
      </c>
    </row>
    <row r="25" spans="2:9" ht="16" thickBot="1" x14ac:dyDescent="0.4">
      <c r="B25" s="15">
        <v>23</v>
      </c>
      <c r="C25" s="3" t="s">
        <v>47</v>
      </c>
      <c r="D25" s="3" t="s">
        <v>48</v>
      </c>
      <c r="E25" s="7">
        <v>3.2010000000000001</v>
      </c>
      <c r="F25" s="7"/>
      <c r="G25" s="7"/>
      <c r="H25" s="7">
        <f t="shared" si="1"/>
        <v>266.75</v>
      </c>
      <c r="I25" s="4">
        <v>45854.436111111114</v>
      </c>
    </row>
    <row r="26" spans="2:9" ht="16" thickBot="1" x14ac:dyDescent="0.4">
      <c r="B26" s="15">
        <v>24</v>
      </c>
      <c r="C26" s="3" t="s">
        <v>49</v>
      </c>
      <c r="D26" s="3" t="s">
        <v>50</v>
      </c>
      <c r="E26" s="7">
        <v>1.8878999999999999</v>
      </c>
      <c r="F26" s="7"/>
      <c r="G26" s="7"/>
      <c r="H26" s="7">
        <f t="shared" si="1"/>
        <v>157.32499999999999</v>
      </c>
      <c r="I26" s="4">
        <v>45854.438194444447</v>
      </c>
    </row>
    <row r="27" spans="2:9" ht="16" thickBot="1" x14ac:dyDescent="0.4">
      <c r="B27" s="15">
        <v>25</v>
      </c>
      <c r="C27" s="3" t="s">
        <v>51</v>
      </c>
      <c r="D27" s="3" t="s">
        <v>52</v>
      </c>
      <c r="E27" s="7">
        <v>2.5192000000000001</v>
      </c>
      <c r="F27" s="7"/>
      <c r="G27" s="7"/>
      <c r="H27" s="7">
        <f t="shared" si="1"/>
        <v>209.93333333333337</v>
      </c>
      <c r="I27" s="4">
        <v>45854.438888888886</v>
      </c>
    </row>
    <row r="28" spans="2:9" ht="16" thickBot="1" x14ac:dyDescent="0.4">
      <c r="B28" s="15">
        <v>26</v>
      </c>
      <c r="C28" s="3" t="s">
        <v>53</v>
      </c>
      <c r="D28" s="3" t="s">
        <v>54</v>
      </c>
      <c r="E28" s="7">
        <v>2.1404999999999998</v>
      </c>
      <c r="F28" s="7"/>
      <c r="G28" s="7"/>
      <c r="H28" s="7">
        <f t="shared" si="1"/>
        <v>178.375</v>
      </c>
      <c r="I28" s="4">
        <v>45854.439583333333</v>
      </c>
    </row>
    <row r="29" spans="2:9" ht="16" thickBot="1" x14ac:dyDescent="0.4">
      <c r="B29" s="15">
        <v>27</v>
      </c>
      <c r="C29" s="3" t="s">
        <v>55</v>
      </c>
      <c r="D29" s="3" t="s">
        <v>56</v>
      </c>
      <c r="E29" s="7">
        <v>2.3424999999999998</v>
      </c>
      <c r="F29" s="7"/>
      <c r="G29" s="7"/>
      <c r="H29" s="7">
        <f t="shared" si="1"/>
        <v>195.20833333333331</v>
      </c>
      <c r="I29" s="4">
        <v>45854.440972222219</v>
      </c>
    </row>
    <row r="30" spans="2:9" ht="16" thickBot="1" x14ac:dyDescent="0.4">
      <c r="B30" s="15">
        <v>28</v>
      </c>
      <c r="C30" s="3" t="s">
        <v>57</v>
      </c>
      <c r="D30" s="3" t="s">
        <v>38</v>
      </c>
      <c r="E30" s="7">
        <v>2.5445000000000002</v>
      </c>
      <c r="F30" s="7"/>
      <c r="G30" s="7"/>
      <c r="H30" s="7">
        <f t="shared" si="1"/>
        <v>212.04166666666669</v>
      </c>
      <c r="I30" s="4">
        <v>45854.440972222219</v>
      </c>
    </row>
    <row r="31" spans="2:9" ht="16" thickBot="1" x14ac:dyDescent="0.4">
      <c r="B31" s="15">
        <v>29</v>
      </c>
      <c r="C31" s="3" t="s">
        <v>58</v>
      </c>
      <c r="D31" s="3" t="s">
        <v>19</v>
      </c>
      <c r="E31" s="7">
        <v>2.5697000000000001</v>
      </c>
      <c r="F31" s="7"/>
      <c r="G31" s="7"/>
      <c r="H31" s="7">
        <f t="shared" si="1"/>
        <v>214.14166666666665</v>
      </c>
      <c r="I31" s="4">
        <v>45854.442361111112</v>
      </c>
    </row>
    <row r="32" spans="2:9" ht="16" thickBot="1" x14ac:dyDescent="0.4">
      <c r="B32" s="15">
        <v>30</v>
      </c>
      <c r="C32" s="3" t="s">
        <v>59</v>
      </c>
      <c r="D32" s="3" t="s">
        <v>60</v>
      </c>
      <c r="E32" s="7">
        <v>1.6859</v>
      </c>
      <c r="F32" s="7"/>
      <c r="G32" s="7"/>
      <c r="H32" s="7">
        <f t="shared" si="1"/>
        <v>140.49166666666667</v>
      </c>
      <c r="I32" s="4">
        <v>45854.443055555559</v>
      </c>
    </row>
    <row r="33" spans="2:9" ht="16" thickBot="1" x14ac:dyDescent="0.4">
      <c r="B33" s="15">
        <v>31</v>
      </c>
      <c r="C33" s="3" t="s">
        <v>61</v>
      </c>
      <c r="D33" s="3" t="s">
        <v>62</v>
      </c>
      <c r="E33" s="7">
        <v>1.0546</v>
      </c>
      <c r="F33" s="7"/>
      <c r="G33" s="7"/>
      <c r="H33" s="7">
        <f t="shared" si="1"/>
        <v>87.883333333333326</v>
      </c>
      <c r="I33" s="4">
        <v>45854.443749999999</v>
      </c>
    </row>
    <row r="34" spans="2:9" ht="16" thickBot="1" x14ac:dyDescent="0.4">
      <c r="B34" s="15">
        <v>32</v>
      </c>
      <c r="C34" s="3" t="s">
        <v>63</v>
      </c>
      <c r="D34" s="3" t="s">
        <v>34</v>
      </c>
      <c r="E34" s="7">
        <v>2.4434999999999998</v>
      </c>
      <c r="F34" s="7"/>
      <c r="G34" s="7"/>
      <c r="H34" s="7">
        <f t="shared" si="1"/>
        <v>203.62499999999997</v>
      </c>
      <c r="I34" s="4">
        <v>45854.444444444445</v>
      </c>
    </row>
    <row r="35" spans="2:9" ht="16" thickBot="1" x14ac:dyDescent="0.4">
      <c r="B35" s="15">
        <v>33</v>
      </c>
      <c r="C35" s="3" t="s">
        <v>64</v>
      </c>
      <c r="D35" s="3" t="s">
        <v>65</v>
      </c>
      <c r="E35" s="7">
        <v>2.0142000000000002</v>
      </c>
      <c r="F35" s="7"/>
      <c r="G35" s="7"/>
      <c r="H35" s="7">
        <f t="shared" si="1"/>
        <v>167.85000000000005</v>
      </c>
      <c r="I35" s="4">
        <v>45854.444444444445</v>
      </c>
    </row>
    <row r="36" spans="2:9" ht="16" thickBot="1" x14ac:dyDescent="0.4">
      <c r="B36" s="15">
        <v>34</v>
      </c>
      <c r="C36" s="3" t="s">
        <v>66</v>
      </c>
      <c r="D36" s="3" t="s">
        <v>67</v>
      </c>
      <c r="E36" s="7">
        <v>2.9990000000000001</v>
      </c>
      <c r="F36" s="7"/>
      <c r="G36" s="7"/>
      <c r="H36" s="7">
        <f t="shared" si="1"/>
        <v>249.91666666666669</v>
      </c>
      <c r="I36" s="4">
        <v>45854.446527777778</v>
      </c>
    </row>
    <row r="37" spans="2:9" ht="16" thickBot="1" x14ac:dyDescent="0.4">
      <c r="B37" s="15">
        <v>35</v>
      </c>
      <c r="C37" s="3" t="s">
        <v>68</v>
      </c>
      <c r="D37" s="3" t="s">
        <v>46</v>
      </c>
      <c r="E37" s="7">
        <v>2.0899000000000001</v>
      </c>
      <c r="F37" s="7"/>
      <c r="G37" s="7"/>
      <c r="H37" s="7">
        <f t="shared" si="1"/>
        <v>174.15833333333333</v>
      </c>
      <c r="I37" s="4">
        <v>45854.446527777778</v>
      </c>
    </row>
    <row r="38" spans="2:9" ht="16" thickBot="1" x14ac:dyDescent="0.4">
      <c r="B38" s="15">
        <v>36</v>
      </c>
      <c r="C38" s="3" t="s">
        <v>69</v>
      </c>
      <c r="D38" s="3" t="s">
        <v>70</v>
      </c>
      <c r="E38" s="7">
        <v>2.2162000000000002</v>
      </c>
      <c r="F38" s="7"/>
      <c r="G38" s="7"/>
      <c r="H38" s="7">
        <f t="shared" si="1"/>
        <v>184.68333333333334</v>
      </c>
      <c r="I38" s="4">
        <v>45854.447916666664</v>
      </c>
    </row>
    <row r="39" spans="2:9" ht="16" thickBot="1" x14ac:dyDescent="0.4">
      <c r="B39" s="15">
        <v>37</v>
      </c>
      <c r="C39" s="3" t="s">
        <v>71</v>
      </c>
      <c r="D39" s="3" t="s">
        <v>72</v>
      </c>
      <c r="E39" s="7">
        <v>2.2919999999999998</v>
      </c>
      <c r="F39" s="7"/>
      <c r="G39" s="7"/>
      <c r="H39" s="7">
        <f t="shared" si="1"/>
        <v>191</v>
      </c>
      <c r="I39" s="4">
        <v>45854.447916666664</v>
      </c>
    </row>
    <row r="40" spans="2:9" ht="16" thickBot="1" x14ac:dyDescent="0.4">
      <c r="B40" s="15">
        <v>38</v>
      </c>
      <c r="C40" s="3" t="s">
        <v>73</v>
      </c>
      <c r="D40" s="3" t="s">
        <v>74</v>
      </c>
      <c r="E40" s="7">
        <v>2.6960000000000002</v>
      </c>
      <c r="F40" s="7"/>
      <c r="G40" s="7"/>
      <c r="H40" s="7">
        <f t="shared" si="1"/>
        <v>224.66666666666669</v>
      </c>
      <c r="I40" s="4">
        <v>45854.45</v>
      </c>
    </row>
    <row r="41" spans="2:9" ht="16" thickBot="1" x14ac:dyDescent="0.4">
      <c r="B41" s="15">
        <v>39</v>
      </c>
      <c r="C41" s="3" t="s">
        <v>75</v>
      </c>
      <c r="D41" s="3" t="s">
        <v>48</v>
      </c>
      <c r="E41" s="7">
        <v>3.2010000000000001</v>
      </c>
      <c r="F41" s="7"/>
      <c r="G41" s="7"/>
      <c r="H41" s="7">
        <f t="shared" si="1"/>
        <v>266.75</v>
      </c>
      <c r="I41" s="4">
        <v>45854.450694444444</v>
      </c>
    </row>
    <row r="42" spans="2:9" ht="16" thickBot="1" x14ac:dyDescent="0.4">
      <c r="B42" s="15">
        <v>40</v>
      </c>
      <c r="C42" s="3" t="s">
        <v>76</v>
      </c>
      <c r="D42" s="3" t="s">
        <v>77</v>
      </c>
      <c r="E42" s="7">
        <v>3.7313000000000001</v>
      </c>
      <c r="F42" s="7"/>
      <c r="G42" s="7"/>
      <c r="H42" s="7">
        <f t="shared" si="1"/>
        <v>310.94166666666666</v>
      </c>
      <c r="I42" s="4">
        <v>45854.451388888891</v>
      </c>
    </row>
    <row r="43" spans="2:9" ht="16" thickBot="1" x14ac:dyDescent="0.4">
      <c r="B43" s="15">
        <v>41</v>
      </c>
      <c r="C43" s="3" t="s">
        <v>78</v>
      </c>
      <c r="D43" s="3" t="s">
        <v>79</v>
      </c>
      <c r="E43" s="7">
        <v>2.1657000000000002</v>
      </c>
      <c r="F43" s="7"/>
      <c r="G43" s="7"/>
      <c r="H43" s="7">
        <f t="shared" si="1"/>
        <v>180.47500000000002</v>
      </c>
      <c r="I43" s="4">
        <v>45854.45208333333</v>
      </c>
    </row>
    <row r="44" spans="2:9" ht="16" thickBot="1" x14ac:dyDescent="0.4">
      <c r="B44" s="15">
        <v>42</v>
      </c>
      <c r="C44" s="3" t="s">
        <v>80</v>
      </c>
      <c r="D44" s="3" t="s">
        <v>81</v>
      </c>
      <c r="E44" s="7">
        <v>2.8475000000000001</v>
      </c>
      <c r="F44" s="7"/>
      <c r="G44" s="7"/>
      <c r="H44" s="7">
        <f t="shared" si="1"/>
        <v>237.29166666666666</v>
      </c>
      <c r="I44" s="4">
        <v>45854.45208333333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E50A-ADF2-4415-8687-6BBE55335B77}">
  <dimension ref="A2:AB121"/>
  <sheetViews>
    <sheetView tabSelected="1" topLeftCell="C2" zoomScale="80" zoomScaleNormal="80" workbookViewId="0">
      <pane ySplit="2" topLeftCell="A145" activePane="bottomLeft" state="frozen"/>
      <selection activeCell="B2" sqref="B2"/>
      <selection pane="bottomLeft" activeCell="L99" sqref="L99"/>
    </sheetView>
  </sheetViews>
  <sheetFormatPr defaultColWidth="9.1796875" defaultRowHeight="14.5" x14ac:dyDescent="0.35"/>
  <cols>
    <col min="1" max="1" width="9.54296875" style="16" bestFit="1" customWidth="1"/>
    <col min="2" max="2" width="9.1796875" style="16"/>
    <col min="3" max="5" width="21.54296875" style="16" customWidth="1"/>
    <col min="6" max="6" width="25.81640625" style="16" hidden="1" customWidth="1"/>
    <col min="7" max="7" width="21.54296875" style="16" hidden="1" customWidth="1"/>
    <col min="8" max="8" width="9.81640625" style="16" hidden="1" customWidth="1"/>
    <col min="9" max="9" width="8" style="16" hidden="1" customWidth="1"/>
    <col min="10" max="10" width="11" style="16" hidden="1" customWidth="1"/>
    <col min="11" max="12" width="11" style="16" customWidth="1"/>
    <col min="13" max="13" width="8.7265625" style="16" hidden="1" customWidth="1"/>
    <col min="14" max="14" width="12.1796875" style="16" hidden="1" customWidth="1"/>
    <col min="15" max="15" width="8.81640625" style="16" hidden="1" customWidth="1"/>
    <col min="16" max="16" width="13.81640625" style="16" hidden="1" customWidth="1"/>
    <col min="17" max="17" width="8.54296875" style="16" hidden="1" customWidth="1"/>
    <col min="18" max="18" width="10.453125" style="16" hidden="1" customWidth="1"/>
    <col min="19" max="19" width="11.453125" style="16" hidden="1" customWidth="1"/>
    <col min="20" max="20" width="12.1796875" style="16" hidden="1" customWidth="1"/>
    <col min="21" max="21" width="13.1796875" style="16" hidden="1" customWidth="1"/>
    <col min="22" max="22" width="14.54296875" style="16" hidden="1" customWidth="1"/>
    <col min="23" max="23" width="9.453125" style="16" hidden="1" customWidth="1"/>
    <col min="24" max="24" width="13.1796875" style="16" hidden="1" customWidth="1"/>
    <col min="25" max="28" width="9.453125" style="16" hidden="1" customWidth="1"/>
    <col min="29" max="16384" width="9.1796875" style="16"/>
  </cols>
  <sheetData>
    <row r="2" spans="1:28" x14ac:dyDescent="0.35">
      <c r="C2" s="17"/>
      <c r="D2" s="17"/>
      <c r="E2" s="17"/>
      <c r="F2" s="17"/>
      <c r="G2" s="17"/>
      <c r="H2" s="17"/>
      <c r="I2" s="17"/>
      <c r="J2" s="17"/>
      <c r="K2" s="17"/>
      <c r="L2" s="17"/>
      <c r="M2" s="59" t="s">
        <v>96</v>
      </c>
      <c r="N2" s="60"/>
      <c r="O2" s="60"/>
      <c r="P2" s="61"/>
      <c r="Q2" s="56" t="s">
        <v>97</v>
      </c>
      <c r="R2" s="56"/>
      <c r="S2" s="56"/>
      <c r="T2" s="56" t="s">
        <v>98</v>
      </c>
      <c r="U2" s="56"/>
      <c r="V2" s="56"/>
      <c r="W2" s="56" t="s">
        <v>99</v>
      </c>
      <c r="X2" s="56"/>
      <c r="Y2" s="56"/>
      <c r="Z2" s="56" t="s">
        <v>100</v>
      </c>
      <c r="AA2" s="56"/>
      <c r="AB2" s="56"/>
    </row>
    <row r="3" spans="1:28" s="32" customFormat="1" ht="52.4" customHeight="1" x14ac:dyDescent="0.35">
      <c r="A3" s="32" t="s">
        <v>92</v>
      </c>
      <c r="C3" s="33" t="s">
        <v>107</v>
      </c>
      <c r="D3" s="33"/>
      <c r="E3" s="33"/>
      <c r="F3" s="33" t="s">
        <v>108</v>
      </c>
      <c r="G3" s="29" t="s">
        <v>109</v>
      </c>
      <c r="H3" s="29" t="s">
        <v>101</v>
      </c>
      <c r="I3" s="29" t="s">
        <v>102</v>
      </c>
      <c r="J3" s="29" t="s">
        <v>103</v>
      </c>
      <c r="K3" s="29" t="s">
        <v>94</v>
      </c>
      <c r="L3" s="29" t="s">
        <v>95</v>
      </c>
      <c r="M3" s="29" t="s">
        <v>105</v>
      </c>
      <c r="N3" s="29" t="s">
        <v>104</v>
      </c>
      <c r="O3" s="29" t="s">
        <v>93</v>
      </c>
      <c r="P3" s="29" t="s">
        <v>106</v>
      </c>
      <c r="Q3" s="29" t="s">
        <v>104</v>
      </c>
      <c r="R3" s="29" t="s">
        <v>93</v>
      </c>
      <c r="S3" s="29" t="s">
        <v>106</v>
      </c>
      <c r="T3" s="29" t="s">
        <v>104</v>
      </c>
      <c r="U3" s="29" t="s">
        <v>93</v>
      </c>
      <c r="V3" s="29" t="s">
        <v>106</v>
      </c>
      <c r="W3" s="29" t="s">
        <v>104</v>
      </c>
      <c r="X3" s="29" t="s">
        <v>93</v>
      </c>
      <c r="Y3" s="29" t="s">
        <v>106</v>
      </c>
      <c r="Z3" s="29" t="s">
        <v>104</v>
      </c>
      <c r="AA3" s="29" t="s">
        <v>93</v>
      </c>
      <c r="AB3" s="29" t="s">
        <v>106</v>
      </c>
    </row>
    <row r="4" spans="1:28" s="43" customFormat="1" ht="19.75" customHeight="1" x14ac:dyDescent="0.35">
      <c r="A4" s="34">
        <v>1</v>
      </c>
      <c r="B4" s="35" t="s">
        <v>277</v>
      </c>
      <c r="C4" s="36" t="s">
        <v>160</v>
      </c>
      <c r="D4" s="55" t="s">
        <v>279</v>
      </c>
      <c r="E4" s="55" t="s">
        <v>280</v>
      </c>
      <c r="F4" s="36"/>
      <c r="G4" s="36"/>
      <c r="H4" s="36">
        <v>1</v>
      </c>
      <c r="I4" s="36">
        <v>240</v>
      </c>
      <c r="J4" s="36">
        <v>0.2</v>
      </c>
      <c r="K4" s="37">
        <v>27.5</v>
      </c>
      <c r="L4" s="37">
        <v>1010</v>
      </c>
      <c r="M4" s="38">
        <v>1.2350000000000001</v>
      </c>
      <c r="N4" s="39">
        <v>1.508</v>
      </c>
      <c r="O4" s="38">
        <f>((N4-M4)*H4)/(I4*J4*10^-3)</f>
        <v>5.6874999999999982</v>
      </c>
      <c r="P4" s="40">
        <f>(O4*L4*298)/(1013.25*(K4+273))</f>
        <v>5.6220921377439428</v>
      </c>
      <c r="Q4" s="39">
        <v>0.77290000000000003</v>
      </c>
      <c r="R4" s="41">
        <f>(Q4*H4)/(I4*J4*10^-3)</f>
        <v>16.102083333333333</v>
      </c>
      <c r="S4" s="42">
        <f>(R4*L4*298)/(1013.25*(K4+273))</f>
        <v>15.916904810484594</v>
      </c>
      <c r="T4" s="39">
        <v>0.31590000000000001</v>
      </c>
      <c r="U4" s="41">
        <f>(T4*H4)/(I4*J4*10^-3)</f>
        <v>6.5812499999999998</v>
      </c>
      <c r="V4" s="42">
        <f>(U4*L4*298)/(1013.25*(K4+273))</f>
        <v>6.5055637593894211</v>
      </c>
      <c r="W4" s="43">
        <v>0.56167999999999996</v>
      </c>
      <c r="X4" s="41">
        <v>11.701666666666666</v>
      </c>
      <c r="Y4" s="42">
        <f>(X4*L4*298)/(1013.25*(K4+273))</f>
        <v>11.567094182886516</v>
      </c>
      <c r="Z4" s="39">
        <v>0.28560000000000002</v>
      </c>
      <c r="AA4" s="41">
        <f>(Z4*H4)/(I4*J4*10^-3)</f>
        <v>5.95</v>
      </c>
      <c r="AB4" s="42">
        <f>(AA4*L4*298)/(1013.25*(K4+273))</f>
        <v>5.881573313332126</v>
      </c>
    </row>
    <row r="5" spans="1:28" s="43" customFormat="1" ht="19.75" customHeight="1" x14ac:dyDescent="0.35">
      <c r="A5" s="34">
        <v>2</v>
      </c>
      <c r="B5" s="35" t="s">
        <v>277</v>
      </c>
      <c r="C5" s="36" t="s">
        <v>161</v>
      </c>
      <c r="D5" s="55" t="s">
        <v>279</v>
      </c>
      <c r="E5" s="55" t="s">
        <v>281</v>
      </c>
      <c r="F5" s="36"/>
      <c r="G5" s="36"/>
      <c r="H5" s="36">
        <v>1</v>
      </c>
      <c r="I5" s="36">
        <v>240</v>
      </c>
      <c r="J5" s="36">
        <v>0.2</v>
      </c>
      <c r="K5" s="37">
        <v>32.799999999999997</v>
      </c>
      <c r="L5" s="37">
        <v>1007</v>
      </c>
      <c r="M5" s="38">
        <v>1.2350000000000001</v>
      </c>
      <c r="N5" s="39">
        <v>1.552</v>
      </c>
      <c r="O5" s="38">
        <f t="shared" ref="O5:O68" si="0">((N5-M5)*H5)/(I5*J5*10^-3)</f>
        <v>6.6041666666666652</v>
      </c>
      <c r="P5" s="40">
        <f t="shared" ref="P5:P66" si="1">(O5*L5*298)/(1013.25*(K5+273))</f>
        <v>6.3960178334689068</v>
      </c>
      <c r="Q5" s="39">
        <v>0.85120000000000007</v>
      </c>
      <c r="R5" s="41">
        <f t="shared" ref="R5:R68" si="2">(Q5*H5)/(I5*J5*10^-3)</f>
        <v>17.733333333333334</v>
      </c>
      <c r="S5" s="42">
        <f t="shared" ref="S5:S68" si="3">(R5*L5*298)/(1013.25*(K5+273))</f>
        <v>17.174417602046482</v>
      </c>
      <c r="T5" s="39">
        <v>0.41620000000000001</v>
      </c>
      <c r="U5" s="41">
        <f t="shared" ref="U5:U67" si="4">(T5*H5)/(I5*J5*10^-3)</f>
        <v>8.6708333333333343</v>
      </c>
      <c r="V5" s="42">
        <f t="shared" ref="V5:V67" si="5">(U5*L5*298)/(1013.25*(K5+273))</f>
        <v>8.3975477043841007</v>
      </c>
      <c r="W5" s="43">
        <v>0.50468000000000002</v>
      </c>
      <c r="X5" s="41">
        <v>10.514166666666666</v>
      </c>
      <c r="Y5" s="42">
        <f t="shared" ref="Y5:Y67" si="6">(X5*L5*298)/(1013.25*(K5+273))</f>
        <v>10.182783218281036</v>
      </c>
      <c r="Z5" s="39">
        <v>0.26269999999999999</v>
      </c>
      <c r="AA5" s="41">
        <f>(Z5*H5)/(I5*J5*10^-3)</f>
        <v>5.4729166666666664</v>
      </c>
      <c r="AB5" s="42">
        <f t="shared" ref="AB5:AB67" si="7">(AA5*L5*298)/(1013.25*(K5+273))</f>
        <v>5.3004223496917424</v>
      </c>
    </row>
    <row r="6" spans="1:28" s="43" customFormat="1" ht="19.75" customHeight="1" x14ac:dyDescent="0.35">
      <c r="A6" s="34">
        <v>3</v>
      </c>
      <c r="B6" s="35" t="s">
        <v>277</v>
      </c>
      <c r="C6" s="36" t="s">
        <v>162</v>
      </c>
      <c r="D6" s="55" t="s">
        <v>279</v>
      </c>
      <c r="E6" s="55" t="s">
        <v>282</v>
      </c>
      <c r="F6" s="36"/>
      <c r="G6" s="36"/>
      <c r="H6" s="36">
        <v>1</v>
      </c>
      <c r="I6" s="36">
        <v>240</v>
      </c>
      <c r="J6" s="36">
        <v>0.2</v>
      </c>
      <c r="K6" s="37">
        <v>29.5</v>
      </c>
      <c r="L6" s="37">
        <v>1009</v>
      </c>
      <c r="M6" s="38">
        <v>1.2350000000000001</v>
      </c>
      <c r="N6" s="39">
        <v>1.5269999999999999</v>
      </c>
      <c r="O6" s="38">
        <f t="shared" si="0"/>
        <v>6.0833333333333295</v>
      </c>
      <c r="P6" s="40">
        <f t="shared" si="1"/>
        <v>5.9677009649689783</v>
      </c>
      <c r="Q6" s="39">
        <v>0.74746000000000001</v>
      </c>
      <c r="R6" s="41">
        <f t="shared" si="2"/>
        <v>15.572083333333333</v>
      </c>
      <c r="S6" s="42">
        <f t="shared" si="3"/>
        <v>15.276088230396287</v>
      </c>
      <c r="T6" s="39">
        <v>0.36430000000000001</v>
      </c>
      <c r="U6" s="41">
        <f t="shared" si="4"/>
        <v>7.5895833333333336</v>
      </c>
      <c r="V6" s="42">
        <f t="shared" si="5"/>
        <v>7.4453200737609588</v>
      </c>
      <c r="W6" s="43">
        <v>0.72182000000000002</v>
      </c>
      <c r="X6" s="41">
        <v>15.037916666666666</v>
      </c>
      <c r="Y6" s="42">
        <f t="shared" si="6"/>
        <v>14.752075036075034</v>
      </c>
      <c r="Z6" s="39">
        <v>0.42320000000000002</v>
      </c>
      <c r="AA6" s="41">
        <f t="shared" ref="AA6:AA68" si="8">(Z6*H6)/(I6*J6*10^-3)</f>
        <v>8.8166666666666664</v>
      </c>
      <c r="AB6" s="42">
        <f t="shared" si="7"/>
        <v>8.6490789327906619</v>
      </c>
    </row>
    <row r="7" spans="1:28" s="43" customFormat="1" ht="19.75" customHeight="1" x14ac:dyDescent="0.35">
      <c r="A7" s="34">
        <v>4</v>
      </c>
      <c r="B7" s="35" t="s">
        <v>277</v>
      </c>
      <c r="C7" s="36" t="s">
        <v>163</v>
      </c>
      <c r="D7" s="55" t="s">
        <v>283</v>
      </c>
      <c r="E7" s="55" t="s">
        <v>280</v>
      </c>
      <c r="F7" s="36"/>
      <c r="G7" s="36"/>
      <c r="H7" s="36">
        <v>1</v>
      </c>
      <c r="I7" s="36">
        <v>240</v>
      </c>
      <c r="J7" s="36">
        <v>0.2</v>
      </c>
      <c r="K7" s="37">
        <v>27.5</v>
      </c>
      <c r="L7" s="37">
        <v>1010</v>
      </c>
      <c r="M7" s="38">
        <v>1.2350000000000001</v>
      </c>
      <c r="N7" s="39">
        <v>2.5774999999999997</v>
      </c>
      <c r="O7" s="38">
        <f t="shared" si="0"/>
        <v>27.968749999999989</v>
      </c>
      <c r="P7" s="40">
        <f t="shared" si="1"/>
        <v>27.647101446597954</v>
      </c>
      <c r="Q7" s="39">
        <v>3.3437000000000001</v>
      </c>
      <c r="R7" s="41">
        <f t="shared" si="2"/>
        <v>69.660416666666663</v>
      </c>
      <c r="S7" s="42">
        <f t="shared" si="3"/>
        <v>68.859302128111452</v>
      </c>
      <c r="T7" s="39">
        <v>0.81720000000000004</v>
      </c>
      <c r="U7" s="41">
        <f t="shared" si="4"/>
        <v>17.025000000000002</v>
      </c>
      <c r="V7" s="42">
        <f t="shared" si="5"/>
        <v>16.829207673862097</v>
      </c>
      <c r="W7" s="43">
        <v>1.6863000000000004</v>
      </c>
      <c r="X7" s="41">
        <v>35.131250000000009</v>
      </c>
      <c r="Y7" s="42">
        <f t="shared" si="6"/>
        <v>34.727230666218368</v>
      </c>
      <c r="Z7" s="39">
        <v>1.1451</v>
      </c>
      <c r="AA7" s="41">
        <f t="shared" si="8"/>
        <v>23.856249999999999</v>
      </c>
      <c r="AB7" s="42">
        <f t="shared" si="7"/>
        <v>23.581896362383116</v>
      </c>
    </row>
    <row r="8" spans="1:28" s="43" customFormat="1" ht="19.75" customHeight="1" x14ac:dyDescent="0.35">
      <c r="A8" s="34">
        <v>5</v>
      </c>
      <c r="B8" s="35" t="s">
        <v>277</v>
      </c>
      <c r="C8" s="36" t="s">
        <v>164</v>
      </c>
      <c r="D8" s="55" t="s">
        <v>283</v>
      </c>
      <c r="E8" s="55" t="s">
        <v>281</v>
      </c>
      <c r="F8" s="36"/>
      <c r="G8" s="36"/>
      <c r="H8" s="36">
        <v>1</v>
      </c>
      <c r="I8" s="36">
        <v>240</v>
      </c>
      <c r="J8" s="36">
        <v>0.2</v>
      </c>
      <c r="K8" s="37">
        <v>32.799999999999997</v>
      </c>
      <c r="L8" s="37">
        <v>1007</v>
      </c>
      <c r="M8" s="38">
        <v>1.2350000000000001</v>
      </c>
      <c r="N8" s="39">
        <v>2.9281999999999999</v>
      </c>
      <c r="O8" s="38">
        <f t="shared" si="0"/>
        <v>35.274999999999999</v>
      </c>
      <c r="P8" s="40">
        <f t="shared" si="1"/>
        <v>34.163209449935501</v>
      </c>
      <c r="Q8" s="39">
        <v>2.9782999999999999</v>
      </c>
      <c r="R8" s="41">
        <f t="shared" si="2"/>
        <v>62.047916666666666</v>
      </c>
      <c r="S8" s="42">
        <f t="shared" si="3"/>
        <v>60.092302565995105</v>
      </c>
      <c r="T8" s="39">
        <v>1.1472</v>
      </c>
      <c r="U8" s="41">
        <f t="shared" si="4"/>
        <v>23.9</v>
      </c>
      <c r="V8" s="42">
        <f t="shared" si="5"/>
        <v>23.146724474938583</v>
      </c>
      <c r="W8" s="43">
        <v>2.7328399999999999</v>
      </c>
      <c r="X8" s="41">
        <v>56.934166666666663</v>
      </c>
      <c r="Y8" s="42">
        <f t="shared" si="6"/>
        <v>55.139726738224503</v>
      </c>
      <c r="Z8" s="39">
        <v>0.84620000000000006</v>
      </c>
      <c r="AA8" s="41">
        <f t="shared" si="8"/>
        <v>17.629166666666666</v>
      </c>
      <c r="AB8" s="42">
        <f t="shared" si="7"/>
        <v>17.073534040004382</v>
      </c>
    </row>
    <row r="9" spans="1:28" s="43" customFormat="1" ht="19.75" customHeight="1" x14ac:dyDescent="0.35">
      <c r="A9" s="34">
        <v>6</v>
      </c>
      <c r="B9" s="35" t="s">
        <v>277</v>
      </c>
      <c r="C9" s="36" t="s">
        <v>165</v>
      </c>
      <c r="D9" s="55" t="s">
        <v>283</v>
      </c>
      <c r="E9" s="55" t="s">
        <v>282</v>
      </c>
      <c r="F9" s="36"/>
      <c r="G9" s="36"/>
      <c r="H9" s="36">
        <v>1</v>
      </c>
      <c r="I9" s="36">
        <v>240</v>
      </c>
      <c r="J9" s="36">
        <v>0.2</v>
      </c>
      <c r="K9" s="37">
        <v>29.5</v>
      </c>
      <c r="L9" s="37">
        <v>1009</v>
      </c>
      <c r="M9" s="38">
        <v>1.2350000000000001</v>
      </c>
      <c r="N9" s="39">
        <v>3.1493000000000002</v>
      </c>
      <c r="O9" s="38">
        <f t="shared" si="0"/>
        <v>39.881250000000001</v>
      </c>
      <c r="P9" s="40">
        <f t="shared" si="1"/>
        <v>39.123184785068915</v>
      </c>
      <c r="Q9" s="39">
        <v>2.8938999999999999</v>
      </c>
      <c r="R9" s="41">
        <f t="shared" si="2"/>
        <v>60.289583333333333</v>
      </c>
      <c r="S9" s="42">
        <f t="shared" si="3"/>
        <v>59.143595282615536</v>
      </c>
      <c r="T9" s="39">
        <v>1.1078999999999999</v>
      </c>
      <c r="U9" s="41">
        <f t="shared" si="4"/>
        <v>23.081249999999997</v>
      </c>
      <c r="V9" s="42">
        <f t="shared" si="5"/>
        <v>22.642520202360046</v>
      </c>
      <c r="W9" s="43">
        <v>3.1491020000000001</v>
      </c>
      <c r="X9" s="41">
        <v>65.606291666666664</v>
      </c>
      <c r="Y9" s="42">
        <f t="shared" si="6"/>
        <v>64.359243302005993</v>
      </c>
      <c r="Z9" s="39">
        <v>1.2211999999999998</v>
      </c>
      <c r="AA9" s="41">
        <f t="shared" si="8"/>
        <v>25.441666666666663</v>
      </c>
      <c r="AB9" s="42">
        <f t="shared" si="7"/>
        <v>24.9580699260963</v>
      </c>
    </row>
    <row r="10" spans="1:28" s="43" customFormat="1" ht="19.75" customHeight="1" x14ac:dyDescent="0.35">
      <c r="A10" s="34">
        <v>7</v>
      </c>
      <c r="B10" s="35" t="s">
        <v>277</v>
      </c>
      <c r="C10" s="36" t="s">
        <v>166</v>
      </c>
      <c r="D10" s="55" t="s">
        <v>284</v>
      </c>
      <c r="E10" s="55" t="s">
        <v>280</v>
      </c>
      <c r="F10" s="36"/>
      <c r="G10" s="36"/>
      <c r="H10" s="36">
        <v>1</v>
      </c>
      <c r="I10" s="36">
        <v>240</v>
      </c>
      <c r="J10" s="36">
        <v>0.2</v>
      </c>
      <c r="K10" s="37">
        <v>27.5</v>
      </c>
      <c r="L10" s="37">
        <v>1010</v>
      </c>
      <c r="M10" s="38">
        <v>1.2350000000000001</v>
      </c>
      <c r="N10" s="39">
        <v>2.0889000000000002</v>
      </c>
      <c r="O10" s="38">
        <f t="shared" si="0"/>
        <v>17.789583333333336</v>
      </c>
      <c r="P10" s="40">
        <f t="shared" si="1"/>
        <v>17.584998082122912</v>
      </c>
      <c r="Q10" s="39">
        <v>2.0943999999999998</v>
      </c>
      <c r="R10" s="41">
        <f t="shared" si="2"/>
        <v>43.633333333333326</v>
      </c>
      <c r="S10" s="42">
        <f t="shared" si="3"/>
        <v>43.131537631102255</v>
      </c>
      <c r="T10" s="39">
        <v>0.7329</v>
      </c>
      <c r="U10" s="41">
        <f t="shared" si="4"/>
        <v>15.268749999999999</v>
      </c>
      <c r="V10" s="42">
        <f t="shared" si="5"/>
        <v>15.093155046712585</v>
      </c>
      <c r="W10" s="43">
        <v>1.8638400000000004</v>
      </c>
      <c r="X10" s="41">
        <v>38.830000000000005</v>
      </c>
      <c r="Y10" s="42">
        <f t="shared" si="6"/>
        <v>38.383443992720416</v>
      </c>
      <c r="Z10" s="39">
        <v>0.74230000000000007</v>
      </c>
      <c r="AA10" s="41">
        <f t="shared" si="8"/>
        <v>15.464583333333335</v>
      </c>
      <c r="AB10" s="42">
        <f t="shared" si="7"/>
        <v>15.286736241199012</v>
      </c>
    </row>
    <row r="11" spans="1:28" s="43" customFormat="1" ht="19.75" customHeight="1" x14ac:dyDescent="0.35">
      <c r="A11" s="34">
        <v>8</v>
      </c>
      <c r="B11" s="35" t="s">
        <v>277</v>
      </c>
      <c r="C11" s="36" t="s">
        <v>167</v>
      </c>
      <c r="D11" s="55" t="s">
        <v>284</v>
      </c>
      <c r="E11" s="55" t="s">
        <v>281</v>
      </c>
      <c r="F11" s="36"/>
      <c r="G11" s="36"/>
      <c r="H11" s="36">
        <v>1</v>
      </c>
      <c r="I11" s="36">
        <v>240</v>
      </c>
      <c r="J11" s="36">
        <v>0.2</v>
      </c>
      <c r="K11" s="37">
        <v>32.799999999999997</v>
      </c>
      <c r="L11" s="37">
        <v>1007</v>
      </c>
      <c r="M11" s="38">
        <v>1.2350000000000001</v>
      </c>
      <c r="N11" s="39">
        <v>2.4489000000000001</v>
      </c>
      <c r="O11" s="38">
        <f t="shared" si="0"/>
        <v>25.289583333333333</v>
      </c>
      <c r="P11" s="40">
        <f t="shared" si="1"/>
        <v>24.49251119258015</v>
      </c>
      <c r="Q11" s="39">
        <v>3.9182400000000004</v>
      </c>
      <c r="R11" s="41">
        <f>(Q11*H11)/(I11*J11*10^-3)</f>
        <v>81.63000000000001</v>
      </c>
      <c r="S11" s="42">
        <f t="shared" si="3"/>
        <v>79.057201627164716</v>
      </c>
      <c r="T11" s="39">
        <v>1.2471999999999999</v>
      </c>
      <c r="U11" s="41">
        <f t="shared" si="4"/>
        <v>25.983333333333331</v>
      </c>
      <c r="V11" s="42">
        <f t="shared" si="5"/>
        <v>25.164395715780508</v>
      </c>
      <c r="W11" s="43">
        <v>2.6428199999999999</v>
      </c>
      <c r="X11" s="41">
        <v>55.058749999999996</v>
      </c>
      <c r="Y11" s="42">
        <f t="shared" si="6"/>
        <v>53.323419087218603</v>
      </c>
      <c r="Z11" s="39">
        <v>1.1975</v>
      </c>
      <c r="AA11" s="41">
        <f t="shared" si="8"/>
        <v>24.947916666666668</v>
      </c>
      <c r="AB11" s="42">
        <f t="shared" si="7"/>
        <v>24.161613109082076</v>
      </c>
    </row>
    <row r="12" spans="1:28" s="43" customFormat="1" ht="19.75" customHeight="1" x14ac:dyDescent="0.35">
      <c r="A12" s="34">
        <v>9</v>
      </c>
      <c r="B12" s="35" t="s">
        <v>277</v>
      </c>
      <c r="C12" s="36" t="s">
        <v>168</v>
      </c>
      <c r="D12" s="55" t="s">
        <v>284</v>
      </c>
      <c r="E12" s="55" t="s">
        <v>282</v>
      </c>
      <c r="F12" s="36"/>
      <c r="G12" s="36"/>
      <c r="H12" s="36">
        <v>1</v>
      </c>
      <c r="I12" s="36">
        <v>240</v>
      </c>
      <c r="J12" s="36">
        <v>0.2</v>
      </c>
      <c r="K12" s="37">
        <v>29.5</v>
      </c>
      <c r="L12" s="37">
        <v>1009</v>
      </c>
      <c r="M12" s="38">
        <v>1.2350000000000001</v>
      </c>
      <c r="N12" s="39">
        <v>3.0072999999999999</v>
      </c>
      <c r="O12" s="38">
        <f t="shared" si="0"/>
        <v>36.922916666666659</v>
      </c>
      <c r="P12" s="40">
        <f t="shared" si="1"/>
        <v>36.221083630871654</v>
      </c>
      <c r="Q12" s="39">
        <v>4.2102199999999996</v>
      </c>
      <c r="R12" s="41">
        <f t="shared" si="2"/>
        <v>87.712916666666658</v>
      </c>
      <c r="S12" s="42">
        <f t="shared" si="3"/>
        <v>86.045664235382546</v>
      </c>
      <c r="T12" s="39">
        <v>1.6051</v>
      </c>
      <c r="U12" s="41">
        <f t="shared" si="4"/>
        <v>33.439583333333331</v>
      </c>
      <c r="V12" s="42">
        <f t="shared" si="5"/>
        <v>32.803961708464769</v>
      </c>
      <c r="W12" s="43">
        <v>2.7769400000000002</v>
      </c>
      <c r="X12" s="41">
        <v>57.852916666666673</v>
      </c>
      <c r="Y12" s="42">
        <f t="shared" si="6"/>
        <v>56.75324492349646</v>
      </c>
      <c r="Z12" s="39">
        <v>1.1405999999999998</v>
      </c>
      <c r="AA12" s="41">
        <f t="shared" si="8"/>
        <v>23.762499999999996</v>
      </c>
      <c r="AB12" s="42">
        <f t="shared" si="7"/>
        <v>23.310820961108284</v>
      </c>
    </row>
    <row r="13" spans="1:28" s="43" customFormat="1" ht="19.75" customHeight="1" x14ac:dyDescent="0.35">
      <c r="A13" s="34">
        <v>10</v>
      </c>
      <c r="B13" s="35" t="s">
        <v>277</v>
      </c>
      <c r="C13" s="36" t="s">
        <v>169</v>
      </c>
      <c r="D13" s="55" t="s">
        <v>279</v>
      </c>
      <c r="E13" s="55" t="s">
        <v>280</v>
      </c>
      <c r="F13" s="36"/>
      <c r="G13" s="36"/>
      <c r="H13" s="36">
        <v>1</v>
      </c>
      <c r="I13" s="36">
        <v>240</v>
      </c>
      <c r="J13" s="36">
        <v>0.2</v>
      </c>
      <c r="K13" s="37">
        <v>26.4</v>
      </c>
      <c r="L13" s="37">
        <v>1011</v>
      </c>
      <c r="M13" s="38">
        <v>1.2350000000000001</v>
      </c>
      <c r="N13" s="39">
        <v>1.7549000000000001</v>
      </c>
      <c r="O13" s="38">
        <f t="shared" si="0"/>
        <v>10.831250000000001</v>
      </c>
      <c r="P13" s="40">
        <f t="shared" si="1"/>
        <v>10.756663709852472</v>
      </c>
      <c r="Q13" s="39">
        <v>0.84009999999999996</v>
      </c>
      <c r="R13" s="41">
        <f t="shared" si="2"/>
        <v>17.502083333333331</v>
      </c>
      <c r="S13" s="42">
        <f t="shared" si="3"/>
        <v>17.381560266680243</v>
      </c>
      <c r="T13" s="39">
        <v>0.54349999999999998</v>
      </c>
      <c r="U13" s="41">
        <f t="shared" si="4"/>
        <v>11.322916666666666</v>
      </c>
      <c r="V13" s="42">
        <f t="shared" si="5"/>
        <v>11.244944655327599</v>
      </c>
      <c r="W13" s="43">
        <v>0.84945999999999999</v>
      </c>
      <c r="X13" s="41">
        <v>17.697083333333332</v>
      </c>
      <c r="Y13" s="42">
        <f t="shared" si="6"/>
        <v>17.575217455224617</v>
      </c>
      <c r="Z13" s="39">
        <v>0.27539999999999998</v>
      </c>
      <c r="AA13" s="41">
        <f t="shared" si="8"/>
        <v>5.7374999999999998</v>
      </c>
      <c r="AB13" s="42">
        <f t="shared" si="7"/>
        <v>5.6979903552478763</v>
      </c>
    </row>
    <row r="14" spans="1:28" s="43" customFormat="1" ht="19.75" customHeight="1" x14ac:dyDescent="0.35">
      <c r="A14" s="34">
        <v>11</v>
      </c>
      <c r="B14" s="35" t="s">
        <v>277</v>
      </c>
      <c r="C14" s="36" t="s">
        <v>170</v>
      </c>
      <c r="D14" s="55" t="s">
        <v>279</v>
      </c>
      <c r="E14" s="55" t="s">
        <v>281</v>
      </c>
      <c r="F14" s="36"/>
      <c r="G14" s="36"/>
      <c r="H14" s="36">
        <v>1</v>
      </c>
      <c r="I14" s="36">
        <v>240</v>
      </c>
      <c r="J14" s="36">
        <v>0.2</v>
      </c>
      <c r="K14" s="37">
        <v>31.7</v>
      </c>
      <c r="L14" s="37">
        <v>1008</v>
      </c>
      <c r="M14" s="38">
        <v>1.2350000000000001</v>
      </c>
      <c r="N14" s="39">
        <v>1.5216000000000001</v>
      </c>
      <c r="O14" s="38">
        <f t="shared" si="0"/>
        <v>5.9708333333333323</v>
      </c>
      <c r="P14" s="40">
        <f t="shared" si="1"/>
        <v>5.809284933281865</v>
      </c>
      <c r="Q14" s="39">
        <v>0.55359999999999998</v>
      </c>
      <c r="R14" s="41">
        <f t="shared" si="2"/>
        <v>11.533333333333333</v>
      </c>
      <c r="S14" s="42">
        <f t="shared" si="3"/>
        <v>11.221284504762183</v>
      </c>
      <c r="T14" s="39">
        <v>0.62809999999999999</v>
      </c>
      <c r="U14" s="41">
        <f t="shared" si="4"/>
        <v>13.085416666666665</v>
      </c>
      <c r="V14" s="42">
        <f t="shared" si="5"/>
        <v>12.731374272834403</v>
      </c>
      <c r="W14" s="43">
        <v>0.68933999999999995</v>
      </c>
      <c r="X14" s="41">
        <v>14.361249999999998</v>
      </c>
      <c r="Y14" s="42">
        <f t="shared" si="6"/>
        <v>13.972688331851087</v>
      </c>
      <c r="Z14" s="39">
        <v>0.30559999999999998</v>
      </c>
      <c r="AA14" s="41">
        <f t="shared" si="8"/>
        <v>6.3666666666666663</v>
      </c>
      <c r="AB14" s="42">
        <f t="shared" si="7"/>
        <v>6.1944084982935737</v>
      </c>
    </row>
    <row r="15" spans="1:28" s="43" customFormat="1" ht="19.75" customHeight="1" x14ac:dyDescent="0.35">
      <c r="A15" s="34">
        <v>12</v>
      </c>
      <c r="B15" s="35" t="s">
        <v>277</v>
      </c>
      <c r="C15" s="36" t="s">
        <v>171</v>
      </c>
      <c r="D15" s="55" t="s">
        <v>279</v>
      </c>
      <c r="E15" s="55" t="s">
        <v>282</v>
      </c>
      <c r="F15" s="36"/>
      <c r="G15" s="36"/>
      <c r="H15" s="36">
        <v>1</v>
      </c>
      <c r="I15" s="36">
        <v>240</v>
      </c>
      <c r="J15" s="36">
        <v>0.2</v>
      </c>
      <c r="K15" s="37">
        <v>29</v>
      </c>
      <c r="L15" s="37">
        <v>1009</v>
      </c>
      <c r="M15" s="38">
        <v>1.2350000000000001</v>
      </c>
      <c r="N15" s="39">
        <v>1.6978</v>
      </c>
      <c r="O15" s="38">
        <f t="shared" si="0"/>
        <v>9.6416666666666639</v>
      </c>
      <c r="P15" s="40">
        <f t="shared" si="1"/>
        <v>9.4740568809847847</v>
      </c>
      <c r="Q15" s="39">
        <v>0.78510000000000002</v>
      </c>
      <c r="R15" s="41">
        <f t="shared" si="2"/>
        <v>16.356249999999999</v>
      </c>
      <c r="S15" s="42">
        <f t="shared" si="3"/>
        <v>16.071914557608377</v>
      </c>
      <c r="T15" s="39">
        <v>0.56940000000000002</v>
      </c>
      <c r="U15" s="41">
        <f t="shared" si="4"/>
        <v>11.862500000000001</v>
      </c>
      <c r="V15" s="42">
        <f t="shared" si="5"/>
        <v>11.656283465930724</v>
      </c>
      <c r="W15" s="43">
        <v>0.6583</v>
      </c>
      <c r="X15" s="41">
        <v>13.714583333333334</v>
      </c>
      <c r="Y15" s="42">
        <f t="shared" si="6"/>
        <v>13.476170364633289</v>
      </c>
      <c r="Z15" s="39">
        <v>0.2918</v>
      </c>
      <c r="AA15" s="41">
        <f t="shared" si="8"/>
        <v>6.0791666666666666</v>
      </c>
      <c r="AB15" s="42">
        <f t="shared" si="7"/>
        <v>5.9734870308369947</v>
      </c>
    </row>
    <row r="16" spans="1:28" s="43" customFormat="1" ht="19.75" customHeight="1" x14ac:dyDescent="0.35">
      <c r="A16" s="34">
        <v>13</v>
      </c>
      <c r="B16" s="35" t="s">
        <v>277</v>
      </c>
      <c r="C16" s="36" t="s">
        <v>172</v>
      </c>
      <c r="D16" s="55" t="s">
        <v>283</v>
      </c>
      <c r="E16" s="55" t="s">
        <v>280</v>
      </c>
      <c r="F16" s="36"/>
      <c r="G16" s="36"/>
      <c r="H16" s="36">
        <v>1</v>
      </c>
      <c r="I16" s="36">
        <v>240</v>
      </c>
      <c r="J16" s="36">
        <v>0.2</v>
      </c>
      <c r="K16" s="37">
        <v>26.4</v>
      </c>
      <c r="L16" s="37">
        <v>1011</v>
      </c>
      <c r="M16" s="38">
        <v>1.2350000000000001</v>
      </c>
      <c r="N16" s="39">
        <v>2.5695999999999999</v>
      </c>
      <c r="O16" s="38">
        <f t="shared" si="0"/>
        <v>27.80416666666666</v>
      </c>
      <c r="P16" s="40">
        <f t="shared" si="1"/>
        <v>27.612701264029823</v>
      </c>
      <c r="Q16" s="39">
        <v>3.0917000000000003</v>
      </c>
      <c r="R16" s="41">
        <f t="shared" si="2"/>
        <v>64.410416666666677</v>
      </c>
      <c r="S16" s="42">
        <f t="shared" si="3"/>
        <v>63.966872844298692</v>
      </c>
      <c r="T16" s="39">
        <v>0.94469999999999998</v>
      </c>
      <c r="U16" s="41">
        <f t="shared" si="4"/>
        <v>19.681249999999999</v>
      </c>
      <c r="V16" s="42">
        <f t="shared" si="5"/>
        <v>19.545720728404749</v>
      </c>
      <c r="W16" s="43">
        <v>2.1750799999999999</v>
      </c>
      <c r="X16" s="41">
        <v>45.314166666666665</v>
      </c>
      <c r="Y16" s="42">
        <f t="shared" si="6"/>
        <v>45.002123681527046</v>
      </c>
      <c r="Z16" s="39">
        <v>1.5636999999999999</v>
      </c>
      <c r="AA16" s="41">
        <f t="shared" si="8"/>
        <v>32.577083333333327</v>
      </c>
      <c r="AB16" s="42">
        <f t="shared" si="7"/>
        <v>32.352750611841323</v>
      </c>
    </row>
    <row r="17" spans="1:28" s="43" customFormat="1" ht="19.75" customHeight="1" x14ac:dyDescent="0.35">
      <c r="A17" s="34">
        <v>14</v>
      </c>
      <c r="B17" s="35" t="s">
        <v>277</v>
      </c>
      <c r="C17" s="36" t="s">
        <v>173</v>
      </c>
      <c r="D17" s="55" t="s">
        <v>283</v>
      </c>
      <c r="E17" s="55" t="s">
        <v>281</v>
      </c>
      <c r="F17" s="36"/>
      <c r="G17" s="36"/>
      <c r="H17" s="36">
        <v>1</v>
      </c>
      <c r="I17" s="36">
        <v>240</v>
      </c>
      <c r="J17" s="36">
        <v>0.2</v>
      </c>
      <c r="K17" s="37">
        <v>31.7</v>
      </c>
      <c r="L17" s="37">
        <v>1008</v>
      </c>
      <c r="M17" s="38">
        <v>1.2350000000000001</v>
      </c>
      <c r="N17" s="39">
        <v>3.5002999999999997</v>
      </c>
      <c r="O17" s="38">
        <f t="shared" si="0"/>
        <v>47.193749999999994</v>
      </c>
      <c r="P17" s="40">
        <f t="shared" si="1"/>
        <v>45.916863780053767</v>
      </c>
      <c r="Q17" s="39">
        <v>3.5369000000000002</v>
      </c>
      <c r="R17" s="41">
        <f t="shared" si="2"/>
        <v>73.685416666666669</v>
      </c>
      <c r="S17" s="42">
        <f t="shared" si="3"/>
        <v>71.691765109995245</v>
      </c>
      <c r="T17" s="39">
        <v>1.3282999999999998</v>
      </c>
      <c r="U17" s="41">
        <f t="shared" si="4"/>
        <v>27.672916666666662</v>
      </c>
      <c r="V17" s="42">
        <f t="shared" si="5"/>
        <v>26.924191126581654</v>
      </c>
      <c r="W17" s="43">
        <v>2.2611599999999998</v>
      </c>
      <c r="X17" s="41">
        <v>47.107499999999995</v>
      </c>
      <c r="Y17" s="42">
        <f t="shared" si="6"/>
        <v>45.832947382203848</v>
      </c>
      <c r="Z17" s="39">
        <v>1.6936199999999999</v>
      </c>
      <c r="AA17" s="41">
        <f t="shared" si="8"/>
        <v>35.283749999999998</v>
      </c>
      <c r="AB17" s="42">
        <f t="shared" si="7"/>
        <v>34.329103798690973</v>
      </c>
    </row>
    <row r="18" spans="1:28" s="43" customFormat="1" ht="19.75" customHeight="1" x14ac:dyDescent="0.35">
      <c r="A18" s="34">
        <v>15</v>
      </c>
      <c r="B18" s="35" t="s">
        <v>277</v>
      </c>
      <c r="C18" s="36" t="s">
        <v>174</v>
      </c>
      <c r="D18" s="55" t="s">
        <v>283</v>
      </c>
      <c r="E18" s="55" t="s">
        <v>282</v>
      </c>
      <c r="F18" s="36"/>
      <c r="G18" s="36"/>
      <c r="H18" s="36">
        <v>1</v>
      </c>
      <c r="I18" s="36">
        <v>240</v>
      </c>
      <c r="J18" s="36">
        <v>0.2</v>
      </c>
      <c r="K18" s="37">
        <v>29</v>
      </c>
      <c r="L18" s="37">
        <v>1009</v>
      </c>
      <c r="M18" s="38">
        <v>1.2350000000000001</v>
      </c>
      <c r="N18" s="39">
        <v>3.1999999999999997</v>
      </c>
      <c r="O18" s="38">
        <f t="shared" si="0"/>
        <v>40.937499999999993</v>
      </c>
      <c r="P18" s="40">
        <f t="shared" si="1"/>
        <v>40.225846523628149</v>
      </c>
      <c r="Q18" s="39">
        <v>3.097</v>
      </c>
      <c r="R18" s="41">
        <f t="shared" si="2"/>
        <v>64.520833333333329</v>
      </c>
      <c r="S18" s="42">
        <f t="shared" si="3"/>
        <v>63.399209508232254</v>
      </c>
      <c r="T18" s="39">
        <v>1.3852</v>
      </c>
      <c r="U18" s="41">
        <f t="shared" si="4"/>
        <v>28.858333333333331</v>
      </c>
      <c r="V18" s="42">
        <f t="shared" si="5"/>
        <v>28.356662903068557</v>
      </c>
      <c r="W18" s="43">
        <v>2.74824</v>
      </c>
      <c r="X18" s="41">
        <v>57.255000000000003</v>
      </c>
      <c r="Y18" s="42">
        <f t="shared" si="6"/>
        <v>56.259684707427908</v>
      </c>
      <c r="Z18" s="39">
        <v>1.8641999999999999</v>
      </c>
      <c r="AA18" s="41">
        <f t="shared" si="8"/>
        <v>38.837499999999999</v>
      </c>
      <c r="AB18" s="42">
        <f t="shared" si="7"/>
        <v>38.162352717225239</v>
      </c>
    </row>
    <row r="19" spans="1:28" s="43" customFormat="1" ht="19.75" customHeight="1" x14ac:dyDescent="0.35">
      <c r="A19" s="34">
        <v>16</v>
      </c>
      <c r="B19" s="35" t="s">
        <v>277</v>
      </c>
      <c r="C19" s="36" t="s">
        <v>175</v>
      </c>
      <c r="D19" s="55" t="s">
        <v>284</v>
      </c>
      <c r="E19" s="55" t="s">
        <v>280</v>
      </c>
      <c r="F19" s="36"/>
      <c r="G19" s="36"/>
      <c r="H19" s="36">
        <v>1</v>
      </c>
      <c r="I19" s="36">
        <v>240</v>
      </c>
      <c r="J19" s="36">
        <v>0.2</v>
      </c>
      <c r="K19" s="37">
        <v>26.4</v>
      </c>
      <c r="L19" s="37">
        <v>1011</v>
      </c>
      <c r="M19" s="38">
        <v>1.2350000000000001</v>
      </c>
      <c r="N19" s="39">
        <v>2.6922999999999999</v>
      </c>
      <c r="O19" s="38">
        <f t="shared" si="0"/>
        <v>30.360416666666662</v>
      </c>
      <c r="P19" s="40">
        <f t="shared" si="1"/>
        <v>30.151348383089065</v>
      </c>
      <c r="Q19" s="39">
        <v>3.3835999999999999</v>
      </c>
      <c r="R19" s="41">
        <f t="shared" si="2"/>
        <v>70.49166666666666</v>
      </c>
      <c r="S19" s="42">
        <f t="shared" si="3"/>
        <v>70.006246063967723</v>
      </c>
      <c r="T19" s="39">
        <v>1.2745</v>
      </c>
      <c r="U19" s="41">
        <f t="shared" si="4"/>
        <v>26.552083333333332</v>
      </c>
      <c r="V19" s="42">
        <f t="shared" si="5"/>
        <v>26.369240042713933</v>
      </c>
      <c r="W19" s="43">
        <v>2.5486999999999997</v>
      </c>
      <c r="X19" s="41">
        <v>53.097916666666663</v>
      </c>
      <c r="Y19" s="42">
        <f t="shared" si="6"/>
        <v>52.732273124256565</v>
      </c>
      <c r="Z19" s="39">
        <v>1.2399</v>
      </c>
      <c r="AA19" s="41">
        <f t="shared" si="8"/>
        <v>25.831250000000001</v>
      </c>
      <c r="AB19" s="42">
        <f t="shared" si="7"/>
        <v>25.653370520958028</v>
      </c>
    </row>
    <row r="20" spans="1:28" s="43" customFormat="1" ht="19.75" customHeight="1" x14ac:dyDescent="0.35">
      <c r="A20" s="34">
        <v>17</v>
      </c>
      <c r="B20" s="35" t="s">
        <v>277</v>
      </c>
      <c r="C20" s="36" t="s">
        <v>176</v>
      </c>
      <c r="D20" s="55" t="s">
        <v>284</v>
      </c>
      <c r="E20" s="55" t="s">
        <v>281</v>
      </c>
      <c r="F20" s="36"/>
      <c r="G20" s="36"/>
      <c r="H20" s="36">
        <v>1</v>
      </c>
      <c r="I20" s="36">
        <v>240</v>
      </c>
      <c r="J20" s="36">
        <v>0.2</v>
      </c>
      <c r="K20" s="37">
        <v>31.7</v>
      </c>
      <c r="L20" s="37">
        <v>1008</v>
      </c>
      <c r="M20" s="38">
        <v>1.2350000000000001</v>
      </c>
      <c r="N20" s="39">
        <v>3.0508999999999999</v>
      </c>
      <c r="O20" s="38">
        <f t="shared" si="0"/>
        <v>37.831249999999997</v>
      </c>
      <c r="P20" s="40">
        <f>(O20*L20*298)/(1013.25*(K20+273))</f>
        <v>36.807677984461058</v>
      </c>
      <c r="Q20" s="39">
        <v>4.9486385999999998</v>
      </c>
      <c r="R20" s="41">
        <f t="shared" si="2"/>
        <v>103.0966375</v>
      </c>
      <c r="S20" s="42">
        <f t="shared" si="3"/>
        <v>100.30722839929194</v>
      </c>
      <c r="T20" s="39">
        <v>1.9389000000000001</v>
      </c>
      <c r="U20" s="41">
        <f t="shared" si="4"/>
        <v>40.393749999999997</v>
      </c>
      <c r="V20" s="42">
        <f t="shared" si="5"/>
        <v>39.300846326378952</v>
      </c>
      <c r="W20" s="43">
        <v>4.0647200000000003</v>
      </c>
      <c r="X20" s="41">
        <v>84.681666666666672</v>
      </c>
      <c r="Y20" s="42">
        <f t="shared" si="6"/>
        <v>82.390497746020472</v>
      </c>
      <c r="Z20" s="39">
        <v>1.1727999999999998</v>
      </c>
      <c r="AA20" s="41">
        <f t="shared" si="8"/>
        <v>24.43333333333333</v>
      </c>
      <c r="AB20" s="42">
        <f t="shared" si="7"/>
        <v>23.772258791880571</v>
      </c>
    </row>
    <row r="21" spans="1:28" s="43" customFormat="1" ht="19.75" customHeight="1" x14ac:dyDescent="0.35">
      <c r="A21" s="34">
        <v>18</v>
      </c>
      <c r="B21" s="35" t="s">
        <v>277</v>
      </c>
      <c r="C21" s="36" t="s">
        <v>177</v>
      </c>
      <c r="D21" s="55" t="s">
        <v>284</v>
      </c>
      <c r="E21" s="55" t="s">
        <v>282</v>
      </c>
      <c r="F21" s="36"/>
      <c r="G21" s="36"/>
      <c r="H21" s="36">
        <v>1</v>
      </c>
      <c r="I21" s="36">
        <v>240</v>
      </c>
      <c r="J21" s="36">
        <v>0.2</v>
      </c>
      <c r="K21" s="37">
        <v>29</v>
      </c>
      <c r="L21" s="37">
        <v>1009</v>
      </c>
      <c r="M21" s="38">
        <v>1.2350000000000001</v>
      </c>
      <c r="N21" s="39">
        <v>3.1960999999999999</v>
      </c>
      <c r="O21" s="38">
        <f t="shared" si="0"/>
        <v>40.856249999999996</v>
      </c>
      <c r="P21" s="40">
        <f t="shared" si="1"/>
        <v>40.146008965642324</v>
      </c>
      <c r="Q21" s="39">
        <v>4.4404640999999998</v>
      </c>
      <c r="R21" s="41">
        <f t="shared" si="2"/>
        <v>92.509668749999989</v>
      </c>
      <c r="S21" s="42">
        <f t="shared" si="3"/>
        <v>90.901489760957048</v>
      </c>
      <c r="T21" s="39">
        <v>1.5945</v>
      </c>
      <c r="U21" s="41">
        <f t="shared" si="4"/>
        <v>33.21875</v>
      </c>
      <c r="V21" s="42">
        <f t="shared" si="5"/>
        <v>32.641278514974601</v>
      </c>
      <c r="W21" s="43">
        <v>3.6256200000000001</v>
      </c>
      <c r="X21" s="41">
        <v>75.533749999999998</v>
      </c>
      <c r="Y21" s="42">
        <f t="shared" si="6"/>
        <v>74.220678713993223</v>
      </c>
      <c r="Z21" s="39">
        <v>1.2222</v>
      </c>
      <c r="AA21" s="41">
        <f t="shared" si="8"/>
        <v>25.462499999999999</v>
      </c>
      <c r="AB21" s="42">
        <f t="shared" si="7"/>
        <v>25.01986240263528</v>
      </c>
    </row>
    <row r="22" spans="1:28" s="43" customFormat="1" ht="19.75" customHeight="1" x14ac:dyDescent="0.35">
      <c r="A22" s="34">
        <v>19</v>
      </c>
      <c r="B22" s="35" t="s">
        <v>277</v>
      </c>
      <c r="C22" s="36" t="s">
        <v>178</v>
      </c>
      <c r="D22" s="55" t="s">
        <v>279</v>
      </c>
      <c r="E22" s="55" t="s">
        <v>280</v>
      </c>
      <c r="F22" s="36"/>
      <c r="G22" s="36"/>
      <c r="H22" s="36">
        <v>1</v>
      </c>
      <c r="I22" s="36">
        <v>240</v>
      </c>
      <c r="J22" s="36">
        <v>0.2</v>
      </c>
      <c r="K22" s="37">
        <v>28.4</v>
      </c>
      <c r="L22" s="37">
        <v>1011</v>
      </c>
      <c r="M22" s="38">
        <v>1.2350000000000001</v>
      </c>
      <c r="N22" s="39">
        <v>1.4631000000000001</v>
      </c>
      <c r="O22" s="38">
        <f t="shared" si="0"/>
        <v>4.7520833333333323</v>
      </c>
      <c r="P22" s="40">
        <f t="shared" si="1"/>
        <v>4.6880432232442359</v>
      </c>
      <c r="Q22" s="39">
        <v>0.53590000000000004</v>
      </c>
      <c r="R22" s="41">
        <f t="shared" si="2"/>
        <v>11.164583333333335</v>
      </c>
      <c r="S22" s="42">
        <f t="shared" si="3"/>
        <v>11.014126976486571</v>
      </c>
      <c r="T22" s="39">
        <v>0.16200000000000001</v>
      </c>
      <c r="U22" s="41">
        <f t="shared" si="4"/>
        <v>3.375</v>
      </c>
      <c r="V22" s="42">
        <f t="shared" si="5"/>
        <v>3.3295177648643857</v>
      </c>
      <c r="W22" s="43">
        <v>0.42634</v>
      </c>
      <c r="X22" s="41">
        <v>8.8820833333333322</v>
      </c>
      <c r="Y22" s="42">
        <f t="shared" si="6"/>
        <v>8.7623864436560623</v>
      </c>
      <c r="Z22" s="39">
        <v>8.9499999999999996E-2</v>
      </c>
      <c r="AA22" s="41">
        <f t="shared" si="8"/>
        <v>1.8645833333333333</v>
      </c>
      <c r="AB22" s="42">
        <f t="shared" si="7"/>
        <v>1.8394558021935958</v>
      </c>
    </row>
    <row r="23" spans="1:28" s="43" customFormat="1" ht="19.75" customHeight="1" x14ac:dyDescent="0.35">
      <c r="A23" s="34">
        <v>20</v>
      </c>
      <c r="B23" s="35" t="s">
        <v>277</v>
      </c>
      <c r="C23" s="36" t="s">
        <v>179</v>
      </c>
      <c r="D23" s="55" t="s">
        <v>279</v>
      </c>
      <c r="E23" s="55" t="s">
        <v>281</v>
      </c>
      <c r="F23" s="36"/>
      <c r="G23" s="36"/>
      <c r="H23" s="36">
        <v>1</v>
      </c>
      <c r="I23" s="36">
        <v>240</v>
      </c>
      <c r="J23" s="36">
        <v>0.2</v>
      </c>
      <c r="K23" s="37">
        <v>34.6</v>
      </c>
      <c r="L23" s="37">
        <v>1008</v>
      </c>
      <c r="M23" s="38">
        <v>1.2350000000000001</v>
      </c>
      <c r="N23" s="39">
        <v>1.5448</v>
      </c>
      <c r="O23" s="38">
        <f t="shared" si="0"/>
        <v>6.4541666666666631</v>
      </c>
      <c r="P23" s="40">
        <f t="shared" si="1"/>
        <v>6.2203386404522361</v>
      </c>
      <c r="Q23" s="39">
        <v>0.73699999999999999</v>
      </c>
      <c r="R23" s="41">
        <f t="shared" si="2"/>
        <v>15.354166666666666</v>
      </c>
      <c r="S23" s="42">
        <f t="shared" si="3"/>
        <v>14.797900510049388</v>
      </c>
      <c r="T23" s="39">
        <v>0.57530000000000003</v>
      </c>
      <c r="U23" s="41">
        <f t="shared" si="4"/>
        <v>11.985416666666667</v>
      </c>
      <c r="V23" s="42">
        <f t="shared" si="5"/>
        <v>11.551196965307209</v>
      </c>
      <c r="W23" s="43">
        <v>0.60714000000000001</v>
      </c>
      <c r="X23" s="41">
        <v>12.64875</v>
      </c>
      <c r="Y23" s="42">
        <f t="shared" si="6"/>
        <v>12.190498393041228</v>
      </c>
      <c r="Z23" s="39">
        <v>0.26129999999999998</v>
      </c>
      <c r="AA23" s="41">
        <f t="shared" si="8"/>
        <v>5.4437499999999996</v>
      </c>
      <c r="AB23" s="42">
        <f t="shared" si="7"/>
        <v>5.2465283626538728</v>
      </c>
    </row>
    <row r="24" spans="1:28" s="43" customFormat="1" ht="19.75" customHeight="1" x14ac:dyDescent="0.35">
      <c r="A24" s="34">
        <v>21</v>
      </c>
      <c r="B24" s="35" t="s">
        <v>277</v>
      </c>
      <c r="C24" s="36" t="s">
        <v>180</v>
      </c>
      <c r="D24" s="55" t="s">
        <v>279</v>
      </c>
      <c r="E24" s="55" t="s">
        <v>282</v>
      </c>
      <c r="F24" s="36"/>
      <c r="G24" s="36"/>
      <c r="H24" s="36">
        <v>1</v>
      </c>
      <c r="I24" s="36">
        <v>240</v>
      </c>
      <c r="J24" s="36">
        <v>0.2</v>
      </c>
      <c r="K24" s="37">
        <v>29.7</v>
      </c>
      <c r="L24" s="37">
        <v>1009</v>
      </c>
      <c r="M24" s="38">
        <v>1.2350000000000001</v>
      </c>
      <c r="N24" s="39">
        <v>1.6613</v>
      </c>
      <c r="O24" s="38">
        <f t="shared" si="0"/>
        <v>8.8812499999999979</v>
      </c>
      <c r="P24" s="40">
        <f t="shared" si="1"/>
        <v>8.7066781807714442</v>
      </c>
      <c r="Q24" s="39">
        <v>0.87709999999999999</v>
      </c>
      <c r="R24" s="41">
        <f t="shared" si="2"/>
        <v>18.272916666666667</v>
      </c>
      <c r="S24" s="42">
        <f t="shared" si="3"/>
        <v>17.913740165035502</v>
      </c>
      <c r="T24" s="39">
        <v>0.63460000000000005</v>
      </c>
      <c r="U24" s="41">
        <f t="shared" si="4"/>
        <v>13.220833333333335</v>
      </c>
      <c r="V24" s="42">
        <f t="shared" si="5"/>
        <v>12.960961701894348</v>
      </c>
      <c r="W24" s="43">
        <v>0.64398</v>
      </c>
      <c r="X24" s="41">
        <v>13.41625</v>
      </c>
      <c r="Y24" s="42">
        <f t="shared" si="6"/>
        <v>13.152537215231517</v>
      </c>
      <c r="Z24" s="39">
        <v>0.26819999999999999</v>
      </c>
      <c r="AA24" s="41">
        <f t="shared" si="8"/>
        <v>5.5874999999999995</v>
      </c>
      <c r="AB24" s="42">
        <f t="shared" si="7"/>
        <v>5.4776708610905498</v>
      </c>
    </row>
    <row r="25" spans="1:28" s="43" customFormat="1" ht="19.75" customHeight="1" x14ac:dyDescent="0.35">
      <c r="A25" s="34">
        <v>22</v>
      </c>
      <c r="B25" s="35" t="s">
        <v>277</v>
      </c>
      <c r="C25" s="36" t="s">
        <v>181</v>
      </c>
      <c r="D25" s="55" t="s">
        <v>283</v>
      </c>
      <c r="E25" s="55" t="s">
        <v>280</v>
      </c>
      <c r="F25" s="57" t="s">
        <v>139</v>
      </c>
      <c r="G25" s="36" t="s">
        <v>141</v>
      </c>
      <c r="H25" s="36">
        <v>1</v>
      </c>
      <c r="I25" s="36">
        <v>240</v>
      </c>
      <c r="J25" s="36">
        <v>0.2</v>
      </c>
      <c r="K25" s="37">
        <v>28.4</v>
      </c>
      <c r="L25" s="37">
        <v>1011</v>
      </c>
      <c r="M25" s="38">
        <v>1.2350000000000001</v>
      </c>
      <c r="N25" s="39">
        <v>2.3773999999999997</v>
      </c>
      <c r="O25" s="38">
        <f t="shared" si="0"/>
        <v>23.799999999999994</v>
      </c>
      <c r="P25" s="40">
        <f t="shared" si="1"/>
        <v>23.479266015932549</v>
      </c>
      <c r="Q25" s="39">
        <v>1.9151</v>
      </c>
      <c r="R25" s="41">
        <f t="shared" si="2"/>
        <v>39.897916666666667</v>
      </c>
      <c r="S25" s="42">
        <f t="shared" si="3"/>
        <v>39.360243651183858</v>
      </c>
      <c r="T25" s="39">
        <v>1.1319999999999999</v>
      </c>
      <c r="U25" s="41">
        <f t="shared" si="4"/>
        <v>23.583333333333332</v>
      </c>
      <c r="V25" s="42">
        <f t="shared" si="5"/>
        <v>23.265519196459781</v>
      </c>
      <c r="W25" s="43">
        <v>1.7774000000000001</v>
      </c>
      <c r="X25" s="41">
        <v>37.029166666666669</v>
      </c>
      <c r="Y25" s="42">
        <f t="shared" si="6"/>
        <v>36.530153551049132</v>
      </c>
      <c r="Z25" s="39">
        <v>1.0997999999999999</v>
      </c>
      <c r="AA25" s="41">
        <f t="shared" si="8"/>
        <v>22.912499999999998</v>
      </c>
      <c r="AB25" s="42">
        <f t="shared" si="7"/>
        <v>22.603726159245998</v>
      </c>
    </row>
    <row r="26" spans="1:28" s="43" customFormat="1" ht="19.75" customHeight="1" x14ac:dyDescent="0.35">
      <c r="A26" s="34">
        <v>23</v>
      </c>
      <c r="B26" s="35" t="s">
        <v>277</v>
      </c>
      <c r="C26" s="36" t="s">
        <v>182</v>
      </c>
      <c r="D26" s="55" t="s">
        <v>283</v>
      </c>
      <c r="E26" s="55" t="s">
        <v>281</v>
      </c>
      <c r="F26" s="58"/>
      <c r="G26" s="36" t="s">
        <v>142</v>
      </c>
      <c r="H26" s="36">
        <v>1</v>
      </c>
      <c r="I26" s="36">
        <v>240</v>
      </c>
      <c r="J26" s="36">
        <v>0.2</v>
      </c>
      <c r="K26" s="37">
        <v>34.6</v>
      </c>
      <c r="L26" s="37">
        <v>1008</v>
      </c>
      <c r="M26" s="38">
        <v>1.2350000000000001</v>
      </c>
      <c r="N26" s="39">
        <v>3.4611999999999998</v>
      </c>
      <c r="O26" s="38">
        <f t="shared" si="0"/>
        <v>46.379166666666656</v>
      </c>
      <c r="P26" s="40">
        <f t="shared" si="1"/>
        <v>44.698895679066403</v>
      </c>
      <c r="Q26" s="39">
        <v>2.9333999999999998</v>
      </c>
      <c r="R26" s="41">
        <f t="shared" si="2"/>
        <v>61.112499999999997</v>
      </c>
      <c r="S26" s="42">
        <f t="shared" si="3"/>
        <v>58.898455028736599</v>
      </c>
      <c r="T26" s="39">
        <v>1.8641999999999999</v>
      </c>
      <c r="U26" s="41">
        <f t="shared" si="4"/>
        <v>38.837499999999999</v>
      </c>
      <c r="V26" s="42">
        <f t="shared" si="5"/>
        <v>37.430456079829128</v>
      </c>
      <c r="W26" s="43">
        <v>2.2519199999999997</v>
      </c>
      <c r="X26" s="41">
        <v>46.914999999999992</v>
      </c>
      <c r="Y26" s="42">
        <f t="shared" si="6"/>
        <v>45.215316304735971</v>
      </c>
      <c r="Z26" s="39">
        <v>1.0154999999999998</v>
      </c>
      <c r="AA26" s="41">
        <f t="shared" si="8"/>
        <v>21.156249999999996</v>
      </c>
      <c r="AB26" s="42">
        <f t="shared" si="7"/>
        <v>20.389780146479172</v>
      </c>
    </row>
    <row r="27" spans="1:28" s="43" customFormat="1" ht="19.75" customHeight="1" x14ac:dyDescent="0.35">
      <c r="A27" s="34">
        <v>24</v>
      </c>
      <c r="B27" s="35" t="s">
        <v>277</v>
      </c>
      <c r="C27" s="36" t="s">
        <v>183</v>
      </c>
      <c r="D27" s="55" t="s">
        <v>283</v>
      </c>
      <c r="E27" s="55" t="s">
        <v>282</v>
      </c>
      <c r="F27" s="58"/>
      <c r="G27" s="36" t="s">
        <v>143</v>
      </c>
      <c r="H27" s="36">
        <v>1</v>
      </c>
      <c r="I27" s="36">
        <v>240</v>
      </c>
      <c r="J27" s="36">
        <v>0.2</v>
      </c>
      <c r="K27" s="37">
        <v>29.7</v>
      </c>
      <c r="L27" s="37">
        <v>1009</v>
      </c>
      <c r="M27" s="38">
        <v>1.2350000000000001</v>
      </c>
      <c r="N27" s="39">
        <v>3.2902999999999998</v>
      </c>
      <c r="O27" s="38">
        <f t="shared" si="0"/>
        <v>42.818749999999994</v>
      </c>
      <c r="P27" s="40">
        <f t="shared" si="1"/>
        <v>41.977095155851629</v>
      </c>
      <c r="Q27" s="39">
        <v>2.1478999999999999</v>
      </c>
      <c r="R27" s="41">
        <f t="shared" si="2"/>
        <v>44.747916666666661</v>
      </c>
      <c r="S27" s="42">
        <f t="shared" si="3"/>
        <v>43.868341694766571</v>
      </c>
      <c r="T27" s="39">
        <v>1.4631999999999998</v>
      </c>
      <c r="U27" s="41">
        <f t="shared" si="4"/>
        <v>30.483333333333331</v>
      </c>
      <c r="V27" s="42">
        <f t="shared" si="5"/>
        <v>29.884146174301616</v>
      </c>
      <c r="W27" s="43">
        <v>2.0717400000000006</v>
      </c>
      <c r="X27" s="41">
        <v>43.16125000000001</v>
      </c>
      <c r="Y27" s="42">
        <f t="shared" si="6"/>
        <v>42.312862899909547</v>
      </c>
      <c r="Z27" s="39">
        <v>1.0013999999999998</v>
      </c>
      <c r="AA27" s="41">
        <f t="shared" si="8"/>
        <v>20.862499999999997</v>
      </c>
      <c r="AB27" s="42">
        <f t="shared" si="7"/>
        <v>20.45242207418373</v>
      </c>
    </row>
    <row r="28" spans="1:28" s="43" customFormat="1" ht="19.75" customHeight="1" x14ac:dyDescent="0.35">
      <c r="A28" s="34">
        <v>25</v>
      </c>
      <c r="B28" s="35" t="s">
        <v>277</v>
      </c>
      <c r="C28" s="36" t="s">
        <v>184</v>
      </c>
      <c r="D28" s="55" t="s">
        <v>284</v>
      </c>
      <c r="E28" s="55" t="s">
        <v>280</v>
      </c>
      <c r="F28" s="57" t="s">
        <v>140</v>
      </c>
      <c r="G28" s="36" t="s">
        <v>144</v>
      </c>
      <c r="H28" s="36">
        <v>1</v>
      </c>
      <c r="I28" s="36">
        <v>240</v>
      </c>
      <c r="J28" s="36">
        <v>0.2</v>
      </c>
      <c r="K28" s="37">
        <v>28.4</v>
      </c>
      <c r="L28" s="37">
        <v>1011</v>
      </c>
      <c r="M28" s="38">
        <v>1.2350000000000001</v>
      </c>
      <c r="N28" s="39">
        <v>3.1739999999999999</v>
      </c>
      <c r="O28" s="38">
        <f t="shared" si="0"/>
        <v>40.395833333333329</v>
      </c>
      <c r="P28" s="40">
        <f t="shared" si="1"/>
        <v>39.851450284395327</v>
      </c>
      <c r="Q28" s="39">
        <v>4.5282</v>
      </c>
      <c r="R28" s="41">
        <f t="shared" si="2"/>
        <v>94.337499999999991</v>
      </c>
      <c r="S28" s="42">
        <f t="shared" si="3"/>
        <v>93.06618730159822</v>
      </c>
      <c r="T28" s="39">
        <v>1.6259999999999999</v>
      </c>
      <c r="U28" s="41">
        <f t="shared" si="4"/>
        <v>33.875</v>
      </c>
      <c r="V28" s="42">
        <f t="shared" si="5"/>
        <v>33.41849312141661</v>
      </c>
      <c r="W28" s="43">
        <v>2.2732800000000002</v>
      </c>
      <c r="X28" s="41">
        <v>47.36</v>
      </c>
      <c r="Y28" s="42">
        <f t="shared" si="6"/>
        <v>46.721766324141427</v>
      </c>
      <c r="Z28" s="39">
        <v>1.2063999999999999</v>
      </c>
      <c r="AA28" s="41">
        <f t="shared" si="8"/>
        <v>25.133333333333329</v>
      </c>
      <c r="AB28" s="42">
        <f t="shared" si="7"/>
        <v>24.79463105884194</v>
      </c>
    </row>
    <row r="29" spans="1:28" s="43" customFormat="1" ht="19.75" customHeight="1" x14ac:dyDescent="0.35">
      <c r="A29" s="34">
        <v>26</v>
      </c>
      <c r="B29" s="35" t="s">
        <v>277</v>
      </c>
      <c r="C29" s="36" t="s">
        <v>185</v>
      </c>
      <c r="D29" s="55" t="s">
        <v>284</v>
      </c>
      <c r="E29" s="55" t="s">
        <v>281</v>
      </c>
      <c r="F29" s="58"/>
      <c r="G29" s="36" t="s">
        <v>145</v>
      </c>
      <c r="H29" s="36">
        <v>1</v>
      </c>
      <c r="I29" s="36">
        <v>240</v>
      </c>
      <c r="J29" s="36">
        <v>0.2</v>
      </c>
      <c r="K29" s="37">
        <v>34.6</v>
      </c>
      <c r="L29" s="37">
        <v>1008</v>
      </c>
      <c r="M29" s="38">
        <v>1.2350000000000001</v>
      </c>
      <c r="N29" s="39">
        <v>3.2892999999999999</v>
      </c>
      <c r="O29" s="38">
        <f t="shared" si="0"/>
        <v>42.797916666666659</v>
      </c>
      <c r="P29" s="40">
        <f t="shared" si="1"/>
        <v>41.247390797550132</v>
      </c>
      <c r="Q29" s="39">
        <v>4.7475300000000002</v>
      </c>
      <c r="R29" s="41">
        <f t="shared" si="2"/>
        <v>98.906874999999999</v>
      </c>
      <c r="S29" s="42">
        <f t="shared" si="3"/>
        <v>95.323577487754108</v>
      </c>
      <c r="T29" s="39">
        <v>1.5290999999999999</v>
      </c>
      <c r="U29" s="41">
        <f t="shared" si="4"/>
        <v>31.856249999999996</v>
      </c>
      <c r="V29" s="42">
        <f t="shared" si="5"/>
        <v>30.702129809927431</v>
      </c>
      <c r="W29" s="43">
        <v>4.0383199999999997</v>
      </c>
      <c r="X29" s="41">
        <v>84.131666666666661</v>
      </c>
      <c r="Y29" s="42">
        <f t="shared" si="6"/>
        <v>81.083660227601953</v>
      </c>
      <c r="Z29" s="39">
        <v>1.5391999999999999</v>
      </c>
      <c r="AA29" s="41">
        <f t="shared" si="8"/>
        <v>32.066666666666663</v>
      </c>
      <c r="AB29" s="42">
        <f t="shared" si="7"/>
        <v>30.904923290458637</v>
      </c>
    </row>
    <row r="30" spans="1:28" ht="19.75" customHeight="1" x14ac:dyDescent="0.35">
      <c r="A30" s="34">
        <v>27</v>
      </c>
      <c r="B30" s="35" t="s">
        <v>277</v>
      </c>
      <c r="C30" s="36" t="s">
        <v>186</v>
      </c>
      <c r="D30" s="55" t="s">
        <v>284</v>
      </c>
      <c r="E30" s="55" t="s">
        <v>282</v>
      </c>
      <c r="F30" s="58"/>
      <c r="G30" s="36" t="s">
        <v>146</v>
      </c>
      <c r="H30" s="36">
        <v>1</v>
      </c>
      <c r="I30" s="36">
        <v>240</v>
      </c>
      <c r="J30" s="36">
        <v>0.2</v>
      </c>
      <c r="K30" s="37">
        <v>29.7</v>
      </c>
      <c r="L30" s="37">
        <v>1009</v>
      </c>
      <c r="M30" s="38">
        <v>1.2350000000000001</v>
      </c>
      <c r="N30" s="39">
        <v>3.6638999999999999</v>
      </c>
      <c r="O30" s="38">
        <f t="shared" si="0"/>
        <v>50.602083333333326</v>
      </c>
      <c r="P30" s="40">
        <f t="shared" si="1"/>
        <v>49.607437563396111</v>
      </c>
      <c r="Q30" s="39">
        <v>4.774356</v>
      </c>
      <c r="R30" s="41">
        <f t="shared" si="2"/>
        <v>99.46575</v>
      </c>
      <c r="S30" s="42">
        <f t="shared" si="3"/>
        <v>97.510629163582536</v>
      </c>
      <c r="T30" s="39">
        <v>1.6620999999999999</v>
      </c>
      <c r="U30" s="41">
        <f t="shared" si="4"/>
        <v>34.627083333333331</v>
      </c>
      <c r="V30" s="42">
        <f t="shared" si="5"/>
        <v>33.946445705513064</v>
      </c>
      <c r="W30" s="43">
        <v>3.6062799999999999</v>
      </c>
      <c r="X30" s="41">
        <v>75.130833333333328</v>
      </c>
      <c r="Y30" s="42">
        <f t="shared" si="6"/>
        <v>73.654045014666778</v>
      </c>
      <c r="Z30" s="39">
        <v>1.1944999999999999</v>
      </c>
      <c r="AA30" s="41">
        <f t="shared" si="8"/>
        <v>24.885416666666664</v>
      </c>
      <c r="AB30" s="42">
        <f t="shared" si="7"/>
        <v>24.396263398854074</v>
      </c>
    </row>
    <row r="31" spans="1:28" s="27" customFormat="1" ht="19.75" customHeight="1" x14ac:dyDescent="0.35">
      <c r="A31" s="18">
        <v>28</v>
      </c>
      <c r="B31" s="19" t="s">
        <v>278</v>
      </c>
      <c r="C31" s="20" t="s">
        <v>187</v>
      </c>
      <c r="D31" s="55" t="s">
        <v>279</v>
      </c>
      <c r="E31" s="55" t="s">
        <v>280</v>
      </c>
      <c r="F31" s="62" t="s">
        <v>147</v>
      </c>
      <c r="G31" s="20" t="s">
        <v>148</v>
      </c>
      <c r="H31" s="20">
        <v>1</v>
      </c>
      <c r="I31" s="20">
        <v>240</v>
      </c>
      <c r="J31" s="20">
        <v>0.2</v>
      </c>
      <c r="K31" s="31">
        <v>31.2</v>
      </c>
      <c r="L31" s="37">
        <v>1011</v>
      </c>
      <c r="M31" s="21">
        <v>1.2350000000000001</v>
      </c>
      <c r="N31" s="23">
        <v>1.6387</v>
      </c>
      <c r="O31" s="21">
        <f t="shared" si="0"/>
        <v>8.4104166666666647</v>
      </c>
      <c r="P31" s="22">
        <f t="shared" si="1"/>
        <v>8.2207058658832253</v>
      </c>
      <c r="Q31" s="23">
        <v>0.95119999999999993</v>
      </c>
      <c r="R31" s="24">
        <f t="shared" si="2"/>
        <v>19.816666666666666</v>
      </c>
      <c r="S31" s="25">
        <f t="shared" si="3"/>
        <v>19.369669109804626</v>
      </c>
      <c r="T31" s="23">
        <v>0.2462</v>
      </c>
      <c r="U31" s="24">
        <f t="shared" si="4"/>
        <v>5.1291666666666664</v>
      </c>
      <c r="V31" s="25">
        <f t="shared" si="5"/>
        <v>5.0134698642072104</v>
      </c>
      <c r="W31" s="26">
        <v>0.56020000000000003</v>
      </c>
      <c r="X31" s="24">
        <v>11.670833333333334</v>
      </c>
      <c r="Y31" s="25">
        <f t="shared" si="6"/>
        <v>11.407578464374003</v>
      </c>
      <c r="Z31" s="23">
        <v>8.9200000000000002E-2</v>
      </c>
      <c r="AA31" s="24">
        <f t="shared" si="8"/>
        <v>1.8583333333333334</v>
      </c>
      <c r="AB31" s="25">
        <f t="shared" si="7"/>
        <v>1.8164155641238149</v>
      </c>
    </row>
    <row r="32" spans="1:28" ht="19.75" customHeight="1" x14ac:dyDescent="0.35">
      <c r="A32" s="34">
        <v>29</v>
      </c>
      <c r="B32" s="35" t="s">
        <v>278</v>
      </c>
      <c r="C32" s="36" t="s">
        <v>188</v>
      </c>
      <c r="D32" s="55" t="s">
        <v>279</v>
      </c>
      <c r="E32" s="55" t="s">
        <v>281</v>
      </c>
      <c r="F32" s="63"/>
      <c r="G32" s="36" t="s">
        <v>149</v>
      </c>
      <c r="H32" s="36">
        <v>1</v>
      </c>
      <c r="I32" s="36">
        <v>240</v>
      </c>
      <c r="J32" s="36">
        <v>0.2</v>
      </c>
      <c r="K32" s="37">
        <v>37.5</v>
      </c>
      <c r="L32" s="37">
        <v>1004</v>
      </c>
      <c r="M32" s="38">
        <v>1.2350000000000001</v>
      </c>
      <c r="N32" s="39">
        <v>1.7674000000000001</v>
      </c>
      <c r="O32" s="38">
        <f t="shared" si="0"/>
        <v>11.091666666666667</v>
      </c>
      <c r="P32" s="40">
        <f t="shared" si="1"/>
        <v>10.547962312033299</v>
      </c>
      <c r="Q32" s="39">
        <v>1.0460999999999998</v>
      </c>
      <c r="R32" s="41">
        <f t="shared" si="2"/>
        <v>21.793749999999996</v>
      </c>
      <c r="S32" s="42">
        <f t="shared" si="3"/>
        <v>20.725438344511705</v>
      </c>
      <c r="T32" s="39">
        <v>0.2903</v>
      </c>
      <c r="U32" s="41">
        <f t="shared" si="4"/>
        <v>6.0479166666666666</v>
      </c>
      <c r="V32" s="42">
        <f t="shared" si="5"/>
        <v>5.7514527783307043</v>
      </c>
      <c r="W32" s="43">
        <v>0.49104000000000009</v>
      </c>
      <c r="X32" s="41">
        <v>10.230000000000002</v>
      </c>
      <c r="Y32" s="42">
        <f t="shared" si="6"/>
        <v>9.7285338349001353</v>
      </c>
      <c r="Z32" s="39">
        <v>0.28939999999999999</v>
      </c>
      <c r="AA32" s="41">
        <f t="shared" si="8"/>
        <v>6.0291666666666668</v>
      </c>
      <c r="AB32" s="42">
        <f t="shared" si="7"/>
        <v>5.7336218878708429</v>
      </c>
    </row>
    <row r="33" spans="1:28" s="43" customFormat="1" ht="19.75" customHeight="1" x14ac:dyDescent="0.35">
      <c r="A33" s="34">
        <v>30</v>
      </c>
      <c r="B33" s="35" t="s">
        <v>278</v>
      </c>
      <c r="C33" s="36" t="s">
        <v>189</v>
      </c>
      <c r="D33" s="55" t="s">
        <v>279</v>
      </c>
      <c r="E33" s="55" t="s">
        <v>282</v>
      </c>
      <c r="F33" s="63"/>
      <c r="G33" s="36"/>
      <c r="H33" s="36">
        <v>1</v>
      </c>
      <c r="I33" s="36">
        <v>240</v>
      </c>
      <c r="J33" s="36">
        <v>0.2</v>
      </c>
      <c r="K33" s="37">
        <v>34.6</v>
      </c>
      <c r="L33" s="37">
        <v>1008</v>
      </c>
      <c r="M33" s="38">
        <v>1.2350000000000001</v>
      </c>
      <c r="N33" s="39">
        <v>1.6626000000000001</v>
      </c>
      <c r="O33" s="38">
        <f t="shared" si="0"/>
        <v>8.9083333333333332</v>
      </c>
      <c r="P33" s="40">
        <f t="shared" si="1"/>
        <v>8.5855932945686817</v>
      </c>
      <c r="Q33" s="39">
        <v>1.0645</v>
      </c>
      <c r="R33" s="41">
        <f t="shared" si="2"/>
        <v>22.177083333333332</v>
      </c>
      <c r="S33" s="42">
        <f t="shared" si="3"/>
        <v>21.373629705491958</v>
      </c>
      <c r="T33" s="39">
        <v>0.32619999999999999</v>
      </c>
      <c r="U33" s="41">
        <f t="shared" si="4"/>
        <v>6.7958333333333334</v>
      </c>
      <c r="V33" s="42">
        <f t="shared" si="5"/>
        <v>6.5496270642850876</v>
      </c>
      <c r="W33" s="43">
        <v>0.68032000000000004</v>
      </c>
      <c r="X33" s="41">
        <v>14.173333333333334</v>
      </c>
      <c r="Y33" s="42">
        <f t="shared" si="6"/>
        <v>13.659847591583176</v>
      </c>
      <c r="Z33" s="39">
        <v>0.37369999999999998</v>
      </c>
      <c r="AA33" s="41">
        <f t="shared" si="8"/>
        <v>7.7854166666666664</v>
      </c>
      <c r="AB33" s="42">
        <f t="shared" si="7"/>
        <v>7.5033587796546222</v>
      </c>
    </row>
    <row r="34" spans="1:28" ht="19.75" customHeight="1" x14ac:dyDescent="0.35">
      <c r="A34" s="34">
        <v>31</v>
      </c>
      <c r="B34" s="35" t="s">
        <v>278</v>
      </c>
      <c r="C34" s="36" t="s">
        <v>190</v>
      </c>
      <c r="D34" s="55" t="s">
        <v>283</v>
      </c>
      <c r="E34" s="55" t="s">
        <v>280</v>
      </c>
      <c r="F34" s="57" t="s">
        <v>139</v>
      </c>
      <c r="G34" s="36" t="s">
        <v>150</v>
      </c>
      <c r="H34" s="36">
        <v>1</v>
      </c>
      <c r="I34" s="36">
        <v>240</v>
      </c>
      <c r="J34" s="36">
        <v>0.2</v>
      </c>
      <c r="K34" s="31">
        <v>31.2</v>
      </c>
      <c r="L34" s="37">
        <v>1011</v>
      </c>
      <c r="M34" s="38">
        <v>1.2350000000000001</v>
      </c>
      <c r="N34" s="39">
        <v>2.5349999999999997</v>
      </c>
      <c r="O34" s="38">
        <f t="shared" si="0"/>
        <v>27.083333333333325</v>
      </c>
      <c r="P34" s="40">
        <f t="shared" si="1"/>
        <v>26.472424140817921</v>
      </c>
      <c r="Q34" s="39">
        <v>2.0611999999999999</v>
      </c>
      <c r="R34" s="41">
        <f t="shared" si="2"/>
        <v>42.941666666666663</v>
      </c>
      <c r="S34" s="42">
        <f t="shared" si="3"/>
        <v>41.973046645426074</v>
      </c>
      <c r="T34" s="39">
        <v>1.1499999999999999</v>
      </c>
      <c r="U34" s="41">
        <f t="shared" si="4"/>
        <v>23.958333333333332</v>
      </c>
      <c r="V34" s="42">
        <f t="shared" si="5"/>
        <v>23.417913663031243</v>
      </c>
      <c r="W34" s="43">
        <v>2.7726600000000001</v>
      </c>
      <c r="X34" s="41">
        <v>57.763750000000002</v>
      </c>
      <c r="Y34" s="42">
        <f t="shared" si="6"/>
        <v>56.460793475600184</v>
      </c>
      <c r="Z34" s="39">
        <v>1.2285999999999999</v>
      </c>
      <c r="AA34" s="41">
        <f t="shared" si="8"/>
        <v>25.595833333333331</v>
      </c>
      <c r="AB34" s="42">
        <f t="shared" si="7"/>
        <v>25.018477153391462</v>
      </c>
    </row>
    <row r="35" spans="1:28" ht="19.75" customHeight="1" x14ac:dyDescent="0.35">
      <c r="A35" s="34">
        <v>32</v>
      </c>
      <c r="B35" s="35" t="s">
        <v>278</v>
      </c>
      <c r="C35" s="36" t="s">
        <v>191</v>
      </c>
      <c r="D35" s="55" t="s">
        <v>283</v>
      </c>
      <c r="E35" s="55" t="s">
        <v>281</v>
      </c>
      <c r="F35" s="58"/>
      <c r="G35" s="36" t="s">
        <v>151</v>
      </c>
      <c r="H35" s="36">
        <v>1</v>
      </c>
      <c r="I35" s="36">
        <v>240</v>
      </c>
      <c r="J35" s="36">
        <v>0.2</v>
      </c>
      <c r="K35" s="37">
        <v>37.5</v>
      </c>
      <c r="L35" s="37">
        <v>1004</v>
      </c>
      <c r="M35" s="38">
        <v>1.2350000000000001</v>
      </c>
      <c r="N35" s="39">
        <v>2.3633999999999999</v>
      </c>
      <c r="O35" s="38">
        <f t="shared" si="0"/>
        <v>23.508333333333329</v>
      </c>
      <c r="P35" s="40">
        <f t="shared" si="1"/>
        <v>22.355974216563432</v>
      </c>
      <c r="Q35" s="39">
        <v>2.4976000000000003</v>
      </c>
      <c r="R35" s="41">
        <f t="shared" si="2"/>
        <v>52.033333333333339</v>
      </c>
      <c r="S35" s="42">
        <f t="shared" si="3"/>
        <v>49.482702236165231</v>
      </c>
      <c r="T35" s="39">
        <v>1.0004999999999999</v>
      </c>
      <c r="U35" s="41">
        <f t="shared" si="4"/>
        <v>20.84375</v>
      </c>
      <c r="V35" s="42">
        <f t="shared" si="5"/>
        <v>19.822006561212088</v>
      </c>
      <c r="W35" s="43">
        <v>3.7065600000000001</v>
      </c>
      <c r="X35" s="41">
        <v>77.22</v>
      </c>
      <c r="Y35" s="42">
        <f t="shared" si="6"/>
        <v>73.434739269891338</v>
      </c>
      <c r="Z35" s="39">
        <v>0.99929999999999997</v>
      </c>
      <c r="AA35" s="41">
        <f t="shared" si="8"/>
        <v>20.818749999999998</v>
      </c>
      <c r="AB35" s="42">
        <f t="shared" si="7"/>
        <v>19.798232040598936</v>
      </c>
    </row>
    <row r="36" spans="1:28" ht="19.75" customHeight="1" x14ac:dyDescent="0.35">
      <c r="A36" s="34">
        <v>33</v>
      </c>
      <c r="B36" s="35" t="s">
        <v>278</v>
      </c>
      <c r="C36" s="36" t="s">
        <v>192</v>
      </c>
      <c r="D36" s="55" t="s">
        <v>283</v>
      </c>
      <c r="E36" s="55" t="s">
        <v>282</v>
      </c>
      <c r="F36" s="58"/>
      <c r="G36" s="36" t="s">
        <v>152</v>
      </c>
      <c r="H36" s="36">
        <v>1</v>
      </c>
      <c r="I36" s="36">
        <v>240</v>
      </c>
      <c r="J36" s="36">
        <v>0.2</v>
      </c>
      <c r="K36" s="37">
        <v>34.6</v>
      </c>
      <c r="L36" s="37">
        <v>1008</v>
      </c>
      <c r="M36" s="38">
        <v>1.2350000000000001</v>
      </c>
      <c r="N36" s="39">
        <v>3.2874999999999996</v>
      </c>
      <c r="O36" s="38">
        <f t="shared" si="0"/>
        <v>42.76041666666665</v>
      </c>
      <c r="P36" s="40">
        <f t="shared" si="1"/>
        <v>41.211249385178235</v>
      </c>
      <c r="Q36" s="39">
        <v>2.1315</v>
      </c>
      <c r="R36" s="41">
        <f t="shared" si="2"/>
        <v>44.40625</v>
      </c>
      <c r="S36" s="42">
        <f t="shared" si="3"/>
        <v>42.797455817055997</v>
      </c>
      <c r="T36" s="39">
        <v>1.7362</v>
      </c>
      <c r="U36" s="41">
        <f t="shared" si="4"/>
        <v>36.170833333333334</v>
      </c>
      <c r="V36" s="42">
        <f t="shared" si="5"/>
        <v>34.860400088938604</v>
      </c>
      <c r="W36" s="43">
        <v>3.1805400000000001</v>
      </c>
      <c r="X36" s="41">
        <v>66.261250000000004</v>
      </c>
      <c r="Y36" s="42">
        <f t="shared" si="6"/>
        <v>63.860670947398219</v>
      </c>
      <c r="Z36" s="39">
        <v>0.98220000000000007</v>
      </c>
      <c r="AA36" s="41">
        <f t="shared" si="8"/>
        <v>20.462500000000002</v>
      </c>
      <c r="AB36" s="42">
        <f t="shared" si="7"/>
        <v>19.721164017599062</v>
      </c>
    </row>
    <row r="37" spans="1:28" ht="19.75" customHeight="1" x14ac:dyDescent="0.35">
      <c r="A37" s="34">
        <v>34</v>
      </c>
      <c r="B37" s="35" t="s">
        <v>278</v>
      </c>
      <c r="C37" s="36" t="s">
        <v>193</v>
      </c>
      <c r="D37" s="55" t="s">
        <v>284</v>
      </c>
      <c r="E37" s="55" t="s">
        <v>280</v>
      </c>
      <c r="F37" s="57" t="s">
        <v>140</v>
      </c>
      <c r="G37" s="36" t="s">
        <v>153</v>
      </c>
      <c r="H37" s="36">
        <v>1</v>
      </c>
      <c r="I37" s="36">
        <v>240</v>
      </c>
      <c r="J37" s="36">
        <v>0.2</v>
      </c>
      <c r="K37" s="31">
        <v>31.2</v>
      </c>
      <c r="L37" s="37">
        <v>1011</v>
      </c>
      <c r="M37" s="38">
        <v>1.2350000000000001</v>
      </c>
      <c r="N37" s="39">
        <v>2.7828999999999997</v>
      </c>
      <c r="O37" s="38">
        <f t="shared" si="0"/>
        <v>32.247916666666654</v>
      </c>
      <c r="P37" s="40">
        <f t="shared" si="1"/>
        <v>31.520511790440043</v>
      </c>
      <c r="Q37" s="39">
        <v>3.3673089999999997</v>
      </c>
      <c r="R37" s="41">
        <f t="shared" si="2"/>
        <v>70.152270833333318</v>
      </c>
      <c r="S37" s="42">
        <f t="shared" si="3"/>
        <v>68.56987081630264</v>
      </c>
      <c r="T37" s="39">
        <v>0.83289999999999997</v>
      </c>
      <c r="U37" s="41">
        <f t="shared" si="4"/>
        <v>17.352083333333333</v>
      </c>
      <c r="V37" s="42">
        <f t="shared" si="5"/>
        <v>16.960678512990192</v>
      </c>
      <c r="W37" s="43">
        <v>2.7202999999999999</v>
      </c>
      <c r="X37" s="41">
        <v>56.672916666666666</v>
      </c>
      <c r="Y37" s="42">
        <f t="shared" si="6"/>
        <v>55.394565684820776</v>
      </c>
      <c r="Z37" s="39">
        <v>0.87319999999999998</v>
      </c>
      <c r="AA37" s="41">
        <f t="shared" si="8"/>
        <v>18.191666666666666</v>
      </c>
      <c r="AB37" s="42">
        <f t="shared" si="7"/>
        <v>17.78132366135555</v>
      </c>
    </row>
    <row r="38" spans="1:28" ht="19.75" customHeight="1" x14ac:dyDescent="0.35">
      <c r="A38" s="34">
        <v>35</v>
      </c>
      <c r="B38" s="35" t="s">
        <v>278</v>
      </c>
      <c r="C38" s="36" t="s">
        <v>194</v>
      </c>
      <c r="D38" s="55" t="s">
        <v>284</v>
      </c>
      <c r="E38" s="55" t="s">
        <v>281</v>
      </c>
      <c r="F38" s="58"/>
      <c r="G38" s="36" t="s">
        <v>151</v>
      </c>
      <c r="H38" s="36">
        <v>1</v>
      </c>
      <c r="I38" s="36">
        <v>240</v>
      </c>
      <c r="J38" s="36">
        <v>0.2</v>
      </c>
      <c r="K38" s="37">
        <v>37.5</v>
      </c>
      <c r="L38" s="37">
        <v>1004</v>
      </c>
      <c r="M38" s="38">
        <v>1.2350000000000001</v>
      </c>
      <c r="N38" s="39">
        <v>2.9358</v>
      </c>
      <c r="O38" s="38">
        <f t="shared" si="0"/>
        <v>35.43333333333333</v>
      </c>
      <c r="P38" s="40">
        <f t="shared" si="1"/>
        <v>33.696420549035004</v>
      </c>
      <c r="Q38" s="39">
        <v>5.5515977999999997</v>
      </c>
      <c r="R38" s="41">
        <f t="shared" si="2"/>
        <v>115.65828749999999</v>
      </c>
      <c r="S38" s="42">
        <f t="shared" si="3"/>
        <v>109.98881361000558</v>
      </c>
      <c r="T38" s="39">
        <v>1.5814999999999999</v>
      </c>
      <c r="U38" s="41">
        <f t="shared" si="4"/>
        <v>32.947916666666664</v>
      </c>
      <c r="V38" s="42">
        <f t="shared" si="5"/>
        <v>31.332836958077873</v>
      </c>
      <c r="W38" s="43">
        <v>3.1041999999999996</v>
      </c>
      <c r="X38" s="41">
        <v>64.67083333333332</v>
      </c>
      <c r="Y38" s="42">
        <f t="shared" si="6"/>
        <v>61.5007224061115</v>
      </c>
      <c r="Z38" s="39">
        <v>1.2111999999999998</v>
      </c>
      <c r="AA38" s="41">
        <f t="shared" si="8"/>
        <v>25.233333333333331</v>
      </c>
      <c r="AB38" s="42">
        <f t="shared" si="7"/>
        <v>23.996416138870643</v>
      </c>
    </row>
    <row r="39" spans="1:28" s="43" customFormat="1" ht="19.75" customHeight="1" x14ac:dyDescent="0.35">
      <c r="A39" s="34">
        <v>36</v>
      </c>
      <c r="B39" s="35" t="s">
        <v>278</v>
      </c>
      <c r="C39" s="36" t="s">
        <v>195</v>
      </c>
      <c r="D39" s="55" t="s">
        <v>284</v>
      </c>
      <c r="E39" s="55" t="s">
        <v>282</v>
      </c>
      <c r="F39" s="58"/>
      <c r="G39" s="36"/>
      <c r="H39" s="36">
        <v>1</v>
      </c>
      <c r="I39" s="36">
        <v>240</v>
      </c>
      <c r="J39" s="36">
        <v>0.2</v>
      </c>
      <c r="K39" s="37">
        <v>34.6</v>
      </c>
      <c r="L39" s="37">
        <v>1008</v>
      </c>
      <c r="M39" s="38">
        <v>1.2350000000000001</v>
      </c>
      <c r="N39" s="39">
        <v>3.0945999999999998</v>
      </c>
      <c r="O39" s="38">
        <f t="shared" si="0"/>
        <v>38.74166666666666</v>
      </c>
      <c r="P39" s="40">
        <f t="shared" si="1"/>
        <v>37.33809469265649</v>
      </c>
      <c r="Q39" s="39">
        <v>5.1679819999999994</v>
      </c>
      <c r="R39" s="41">
        <f t="shared" si="2"/>
        <v>107.66629166666665</v>
      </c>
      <c r="S39" s="42">
        <f t="shared" si="3"/>
        <v>103.76564921808146</v>
      </c>
      <c r="T39" s="39">
        <v>1.2323999999999999</v>
      </c>
      <c r="U39" s="41">
        <f t="shared" si="4"/>
        <v>25.674999999999997</v>
      </c>
      <c r="V39" s="42">
        <f t="shared" si="5"/>
        <v>24.744820337292893</v>
      </c>
      <c r="W39" s="43">
        <v>2.2615999999999996</v>
      </c>
      <c r="X39" s="41">
        <v>47.11666666666666</v>
      </c>
      <c r="Y39" s="42">
        <f t="shared" si="6"/>
        <v>45.409676789047069</v>
      </c>
      <c r="Z39" s="39">
        <v>1.2073999999999998</v>
      </c>
      <c r="AA39" s="41">
        <f t="shared" si="8"/>
        <v>25.154166666666661</v>
      </c>
      <c r="AB39" s="42">
        <f t="shared" si="7"/>
        <v>24.242856276572084</v>
      </c>
    </row>
    <row r="40" spans="1:28" s="43" customFormat="1" ht="19.75" customHeight="1" x14ac:dyDescent="0.35">
      <c r="A40" s="34">
        <v>37</v>
      </c>
      <c r="B40" s="35" t="s">
        <v>278</v>
      </c>
      <c r="C40" s="36" t="s">
        <v>196</v>
      </c>
      <c r="D40" s="55" t="s">
        <v>279</v>
      </c>
      <c r="E40" s="55" t="s">
        <v>280</v>
      </c>
      <c r="F40" s="58"/>
      <c r="G40" s="36"/>
      <c r="H40" s="36">
        <v>1</v>
      </c>
      <c r="I40" s="36">
        <v>240</v>
      </c>
      <c r="J40" s="36">
        <v>0.2</v>
      </c>
      <c r="K40" s="37">
        <v>30</v>
      </c>
      <c r="L40" s="37">
        <v>1010</v>
      </c>
      <c r="M40" s="38">
        <v>1.2350000000000001</v>
      </c>
      <c r="N40" s="39">
        <v>1.7427000000000001</v>
      </c>
      <c r="O40" s="38">
        <f t="shared" si="0"/>
        <v>10.577083333333334</v>
      </c>
      <c r="P40" s="40">
        <f t="shared" si="1"/>
        <v>10.369177838089756</v>
      </c>
      <c r="Q40" s="39">
        <v>1.0913999999999999</v>
      </c>
      <c r="R40" s="41">
        <f t="shared" si="2"/>
        <v>22.737499999999997</v>
      </c>
      <c r="S40" s="42">
        <f t="shared" si="3"/>
        <v>22.290566658442302</v>
      </c>
      <c r="T40" s="39">
        <v>0.40550000000000003</v>
      </c>
      <c r="U40" s="41">
        <f t="shared" si="4"/>
        <v>8.4479166666666679</v>
      </c>
      <c r="V40" s="42">
        <f t="shared" si="5"/>
        <v>8.2818625435205746</v>
      </c>
      <c r="W40" s="43">
        <v>0.91020000000000001</v>
      </c>
      <c r="X40" s="41">
        <v>18.962499999999999</v>
      </c>
      <c r="Y40" s="42">
        <f t="shared" si="6"/>
        <v>18.589768895468378</v>
      </c>
      <c r="Z40" s="39">
        <v>0.1018</v>
      </c>
      <c r="AA40" s="41">
        <f t="shared" si="8"/>
        <v>2.1208333333333331</v>
      </c>
      <c r="AB40" s="42">
        <f t="shared" si="7"/>
        <v>2.079145763083587</v>
      </c>
    </row>
    <row r="41" spans="1:28" s="43" customFormat="1" ht="19.75" customHeight="1" x14ac:dyDescent="0.35">
      <c r="A41" s="34">
        <v>38</v>
      </c>
      <c r="B41" s="35" t="s">
        <v>278</v>
      </c>
      <c r="C41" s="36" t="s">
        <v>197</v>
      </c>
      <c r="D41" s="55" t="s">
        <v>279</v>
      </c>
      <c r="E41" s="55" t="s">
        <v>281</v>
      </c>
      <c r="F41" s="58"/>
      <c r="G41" s="36"/>
      <c r="H41" s="36">
        <v>1</v>
      </c>
      <c r="I41" s="36">
        <v>240</v>
      </c>
      <c r="J41" s="36">
        <v>0.2</v>
      </c>
      <c r="K41" s="37">
        <v>35.799999999999997</v>
      </c>
      <c r="L41" s="37">
        <v>1006</v>
      </c>
      <c r="M41" s="38">
        <v>1.2350000000000001</v>
      </c>
      <c r="N41" s="39">
        <v>1.9425000000000001</v>
      </c>
      <c r="O41" s="38">
        <f t="shared" si="0"/>
        <v>14.739583333333334</v>
      </c>
      <c r="P41" s="40">
        <f t="shared" si="1"/>
        <v>14.122303725422267</v>
      </c>
      <c r="Q41" s="39">
        <v>1.4908999999999999</v>
      </c>
      <c r="R41" s="41">
        <f t="shared" si="2"/>
        <v>31.060416666666665</v>
      </c>
      <c r="S41" s="42">
        <f t="shared" si="3"/>
        <v>29.759636217995833</v>
      </c>
      <c r="T41" s="39">
        <v>0.37959999999999999</v>
      </c>
      <c r="U41" s="41">
        <f t="shared" si="4"/>
        <v>7.9083333333333332</v>
      </c>
      <c r="V41" s="42">
        <f t="shared" si="5"/>
        <v>7.57713992108875</v>
      </c>
      <c r="W41" s="43">
        <v>0.44924000000000003</v>
      </c>
      <c r="X41" s="41">
        <v>9.3591666666666669</v>
      </c>
      <c r="Y41" s="42">
        <f t="shared" si="6"/>
        <v>8.9672137464433881</v>
      </c>
      <c r="Z41" s="39">
        <v>0.39500000000000002</v>
      </c>
      <c r="AA41" s="41">
        <f t="shared" si="8"/>
        <v>8.2291666666666661</v>
      </c>
      <c r="AB41" s="42">
        <f t="shared" si="7"/>
        <v>7.8845370622498852</v>
      </c>
    </row>
    <row r="42" spans="1:28" s="43" customFormat="1" ht="19.75" customHeight="1" x14ac:dyDescent="0.35">
      <c r="A42" s="34">
        <v>39</v>
      </c>
      <c r="B42" s="35" t="s">
        <v>278</v>
      </c>
      <c r="C42" s="36" t="s">
        <v>198</v>
      </c>
      <c r="D42" s="55" t="s">
        <v>279</v>
      </c>
      <c r="E42" s="55" t="s">
        <v>282</v>
      </c>
      <c r="F42" s="58"/>
      <c r="G42" s="36"/>
      <c r="H42" s="36">
        <v>1</v>
      </c>
      <c r="I42" s="36">
        <v>240</v>
      </c>
      <c r="J42" s="36">
        <v>0.2</v>
      </c>
      <c r="K42" s="37">
        <v>30.4</v>
      </c>
      <c r="L42" s="37">
        <v>1010</v>
      </c>
      <c r="M42" s="38">
        <v>1.2350000000000001</v>
      </c>
      <c r="N42" s="39">
        <v>1.8806</v>
      </c>
      <c r="O42" s="38">
        <f t="shared" si="0"/>
        <v>13.45</v>
      </c>
      <c r="P42" s="40">
        <f t="shared" si="1"/>
        <v>13.168240002563268</v>
      </c>
      <c r="Q42" s="39">
        <v>1.6317999999999999</v>
      </c>
      <c r="R42" s="41">
        <f t="shared" si="2"/>
        <v>33.99583333333333</v>
      </c>
      <c r="S42" s="42">
        <f t="shared" si="3"/>
        <v>33.283664863975744</v>
      </c>
      <c r="T42" s="39">
        <v>0.43640000000000001</v>
      </c>
      <c r="U42" s="41">
        <f t="shared" si="4"/>
        <v>9.0916666666666668</v>
      </c>
      <c r="V42" s="42">
        <f t="shared" si="5"/>
        <v>8.9012080810387406</v>
      </c>
      <c r="W42" s="43">
        <v>0.55252000000000001</v>
      </c>
      <c r="X42" s="41">
        <v>11.510833333333334</v>
      </c>
      <c r="Y42" s="42">
        <f t="shared" si="6"/>
        <v>11.269696354114402</v>
      </c>
      <c r="Z42" s="39">
        <v>0.42170000000000002</v>
      </c>
      <c r="AA42" s="41">
        <f t="shared" si="8"/>
        <v>8.7854166666666664</v>
      </c>
      <c r="AB42" s="42">
        <f t="shared" si="7"/>
        <v>8.6013736200138329</v>
      </c>
    </row>
    <row r="43" spans="1:28" ht="19.75" customHeight="1" x14ac:dyDescent="0.35">
      <c r="A43" s="34">
        <v>40</v>
      </c>
      <c r="B43" s="35" t="s">
        <v>278</v>
      </c>
      <c r="C43" s="36" t="s">
        <v>199</v>
      </c>
      <c r="D43" s="55" t="s">
        <v>283</v>
      </c>
      <c r="E43" s="55" t="s">
        <v>280</v>
      </c>
      <c r="F43" s="57" t="s">
        <v>139</v>
      </c>
      <c r="G43" s="36" t="s">
        <v>154</v>
      </c>
      <c r="H43" s="36">
        <v>1</v>
      </c>
      <c r="I43" s="36">
        <v>240</v>
      </c>
      <c r="J43" s="36">
        <v>0.2</v>
      </c>
      <c r="K43" s="37">
        <v>30</v>
      </c>
      <c r="L43" s="37">
        <v>1010</v>
      </c>
      <c r="M43" s="38">
        <v>1.2350000000000001</v>
      </c>
      <c r="N43" s="39">
        <v>2.6955999999999998</v>
      </c>
      <c r="O43" s="38">
        <f t="shared" si="0"/>
        <v>30.42916666666666</v>
      </c>
      <c r="P43" s="40">
        <f t="shared" si="1"/>
        <v>29.831044219645246</v>
      </c>
      <c r="Q43" s="39">
        <v>1.4158999999999999</v>
      </c>
      <c r="R43" s="41">
        <f t="shared" si="2"/>
        <v>29.497916666666665</v>
      </c>
      <c r="S43" s="42">
        <f t="shared" si="3"/>
        <v>28.918099076130162</v>
      </c>
      <c r="T43" s="39">
        <v>1.2406999999999999</v>
      </c>
      <c r="U43" s="41">
        <f t="shared" si="4"/>
        <v>25.847916666666663</v>
      </c>
      <c r="V43" s="42">
        <f t="shared" si="5"/>
        <v>25.339844285440137</v>
      </c>
      <c r="W43" s="43">
        <v>3.0362200000000001</v>
      </c>
      <c r="X43" s="41">
        <v>63.254583333333336</v>
      </c>
      <c r="Y43" s="42">
        <f t="shared" si="6"/>
        <v>62.011237217972969</v>
      </c>
      <c r="Z43" s="39">
        <v>1.3814</v>
      </c>
      <c r="AA43" s="41">
        <f t="shared" si="8"/>
        <v>28.779166666666665</v>
      </c>
      <c r="AB43" s="42">
        <f t="shared" si="7"/>
        <v>28.213476985497707</v>
      </c>
    </row>
    <row r="44" spans="1:28" ht="19.75" customHeight="1" x14ac:dyDescent="0.35">
      <c r="A44" s="34">
        <v>41</v>
      </c>
      <c r="B44" s="35" t="s">
        <v>278</v>
      </c>
      <c r="C44" s="36" t="s">
        <v>200</v>
      </c>
      <c r="D44" s="55" t="s">
        <v>283</v>
      </c>
      <c r="E44" s="55" t="s">
        <v>281</v>
      </c>
      <c r="F44" s="58"/>
      <c r="G44" s="36" t="s">
        <v>155</v>
      </c>
      <c r="H44" s="36">
        <v>1</v>
      </c>
      <c r="I44" s="36">
        <v>240</v>
      </c>
      <c r="J44" s="36">
        <v>0.2</v>
      </c>
      <c r="K44" s="37">
        <v>35.799999999999997</v>
      </c>
      <c r="L44" s="37">
        <v>1006</v>
      </c>
      <c r="M44" s="38">
        <v>1.2350000000000001</v>
      </c>
      <c r="N44" s="39">
        <v>3.6191</v>
      </c>
      <c r="O44" s="38">
        <f t="shared" si="0"/>
        <v>49.668750000000003</v>
      </c>
      <c r="P44" s="40">
        <f t="shared" si="1"/>
        <v>47.588670405341659</v>
      </c>
      <c r="Q44" s="39">
        <v>1.6653</v>
      </c>
      <c r="R44" s="41">
        <f t="shared" si="2"/>
        <v>34.693750000000001</v>
      </c>
      <c r="S44" s="42">
        <f t="shared" si="3"/>
        <v>33.240809037379073</v>
      </c>
      <c r="T44" s="39">
        <v>2.0373999999999999</v>
      </c>
      <c r="U44" s="41">
        <f t="shared" si="4"/>
        <v>42.445833333333333</v>
      </c>
      <c r="V44" s="42">
        <f t="shared" si="5"/>
        <v>40.66824255855169</v>
      </c>
      <c r="W44" s="43">
        <v>2.3093399999999997</v>
      </c>
      <c r="X44" s="41">
        <v>48.111249999999991</v>
      </c>
      <c r="Y44" s="42">
        <f t="shared" si="6"/>
        <v>46.09639701097759</v>
      </c>
      <c r="Z44" s="39">
        <v>1.0486</v>
      </c>
      <c r="AA44" s="41">
        <f t="shared" si="8"/>
        <v>21.845833333333331</v>
      </c>
      <c r="AB44" s="42">
        <f t="shared" si="7"/>
        <v>20.930950793608179</v>
      </c>
    </row>
    <row r="45" spans="1:28" ht="19.75" customHeight="1" x14ac:dyDescent="0.35">
      <c r="A45" s="34">
        <v>42</v>
      </c>
      <c r="B45" s="35" t="s">
        <v>278</v>
      </c>
      <c r="C45" s="36" t="s">
        <v>201</v>
      </c>
      <c r="D45" s="55" t="s">
        <v>283</v>
      </c>
      <c r="E45" s="55" t="s">
        <v>282</v>
      </c>
      <c r="F45" s="58"/>
      <c r="G45" s="36" t="s">
        <v>156</v>
      </c>
      <c r="H45" s="36">
        <v>1</v>
      </c>
      <c r="I45" s="36">
        <v>240</v>
      </c>
      <c r="J45" s="36">
        <v>0.2</v>
      </c>
      <c r="K45" s="37">
        <v>30.4</v>
      </c>
      <c r="L45" s="37">
        <v>1010</v>
      </c>
      <c r="M45" s="38">
        <v>1.2350000000000001</v>
      </c>
      <c r="N45" s="39">
        <v>3.4072999999999998</v>
      </c>
      <c r="O45" s="38">
        <f t="shared" si="0"/>
        <v>45.256249999999994</v>
      </c>
      <c r="P45" s="40">
        <f t="shared" si="1"/>
        <v>44.308190454721476</v>
      </c>
      <c r="Q45" s="39">
        <v>2.1995</v>
      </c>
      <c r="R45" s="41">
        <f t="shared" si="2"/>
        <v>45.822916666666664</v>
      </c>
      <c r="S45" s="42">
        <f t="shared" si="3"/>
        <v>44.862986192128105</v>
      </c>
      <c r="T45" s="39">
        <v>1.9238999999999999</v>
      </c>
      <c r="U45" s="41">
        <f t="shared" si="4"/>
        <v>40.081249999999997</v>
      </c>
      <c r="V45" s="42">
        <f t="shared" si="5"/>
        <v>39.241599970463866</v>
      </c>
      <c r="W45" s="43">
        <v>2.0770200000000001</v>
      </c>
      <c r="X45" s="41">
        <v>43.271250000000002</v>
      </c>
      <c r="Y45" s="42">
        <f t="shared" si="6"/>
        <v>42.364773621629432</v>
      </c>
      <c r="Z45" s="39">
        <v>0.98580000000000012</v>
      </c>
      <c r="AA45" s="41">
        <f t="shared" si="8"/>
        <v>20.537500000000001</v>
      </c>
      <c r="AB45" s="42">
        <f t="shared" si="7"/>
        <v>20.107266100568264</v>
      </c>
    </row>
    <row r="46" spans="1:28" ht="19.75" customHeight="1" x14ac:dyDescent="0.35">
      <c r="A46" s="34">
        <v>43</v>
      </c>
      <c r="B46" s="35" t="s">
        <v>278</v>
      </c>
      <c r="C46" s="36" t="s">
        <v>202</v>
      </c>
      <c r="D46" s="55" t="s">
        <v>284</v>
      </c>
      <c r="E46" s="55" t="s">
        <v>280</v>
      </c>
      <c r="F46" s="57" t="s">
        <v>140</v>
      </c>
      <c r="G46" s="36" t="s">
        <v>157</v>
      </c>
      <c r="H46" s="36">
        <v>1</v>
      </c>
      <c r="I46" s="36">
        <v>240</v>
      </c>
      <c r="J46" s="36">
        <v>0.2</v>
      </c>
      <c r="K46" s="37">
        <v>30</v>
      </c>
      <c r="L46" s="37">
        <v>1010</v>
      </c>
      <c r="M46" s="38">
        <v>1.2350000000000001</v>
      </c>
      <c r="N46" s="39">
        <v>2.9788999999999999</v>
      </c>
      <c r="O46" s="38">
        <f t="shared" si="0"/>
        <v>36.331249999999997</v>
      </c>
      <c r="P46" s="40">
        <f t="shared" si="1"/>
        <v>35.61711489431697</v>
      </c>
      <c r="Q46" s="39">
        <v>3.3504</v>
      </c>
      <c r="R46" s="41">
        <f t="shared" si="2"/>
        <v>69.8</v>
      </c>
      <c r="S46" s="42">
        <f t="shared" si="3"/>
        <v>68.427995723332515</v>
      </c>
      <c r="T46" s="39">
        <v>0.76860000000000006</v>
      </c>
      <c r="U46" s="41">
        <f t="shared" si="4"/>
        <v>16.012499999999999</v>
      </c>
      <c r="V46" s="42">
        <f t="shared" si="5"/>
        <v>15.697754749568221</v>
      </c>
      <c r="W46" s="43">
        <v>2.5190000000000001</v>
      </c>
      <c r="X46" s="41">
        <v>52.479166666666671</v>
      </c>
      <c r="Y46" s="42">
        <f t="shared" si="6"/>
        <v>51.447624530526085</v>
      </c>
      <c r="Z46" s="39">
        <v>0.93591999999999997</v>
      </c>
      <c r="AA46" s="41">
        <f t="shared" si="8"/>
        <v>19.498333333333331</v>
      </c>
      <c r="AB46" s="42">
        <f t="shared" si="7"/>
        <v>19.115069769992047</v>
      </c>
    </row>
    <row r="47" spans="1:28" ht="19.75" customHeight="1" x14ac:dyDescent="0.35">
      <c r="A47" s="34">
        <v>44</v>
      </c>
      <c r="B47" s="35" t="s">
        <v>278</v>
      </c>
      <c r="C47" s="36" t="s">
        <v>203</v>
      </c>
      <c r="D47" s="55" t="s">
        <v>284</v>
      </c>
      <c r="E47" s="55" t="s">
        <v>281</v>
      </c>
      <c r="F47" s="58"/>
      <c r="G47" s="36" t="s">
        <v>158</v>
      </c>
      <c r="H47" s="36">
        <v>1</v>
      </c>
      <c r="I47" s="36">
        <v>240</v>
      </c>
      <c r="J47" s="36">
        <v>0.2</v>
      </c>
      <c r="K47" s="37">
        <v>35.799999999999997</v>
      </c>
      <c r="L47" s="37">
        <v>1006</v>
      </c>
      <c r="M47" s="38">
        <v>1.2350000000000001</v>
      </c>
      <c r="N47" s="39">
        <v>3.1707000000000001</v>
      </c>
      <c r="O47" s="38">
        <f t="shared" si="0"/>
        <v>40.327083333333334</v>
      </c>
      <c r="P47" s="40">
        <f t="shared" si="1"/>
        <v>38.638223775688878</v>
      </c>
      <c r="Q47" s="39">
        <v>3.9687000000000006</v>
      </c>
      <c r="R47" s="41">
        <f t="shared" si="2"/>
        <v>82.681250000000006</v>
      </c>
      <c r="S47" s="42">
        <f t="shared" si="3"/>
        <v>79.218638579623104</v>
      </c>
      <c r="T47" s="39">
        <v>0.96790000000000009</v>
      </c>
      <c r="U47" s="41">
        <f t="shared" si="4"/>
        <v>20.164583333333336</v>
      </c>
      <c r="V47" s="42">
        <f t="shared" si="5"/>
        <v>19.320109930510544</v>
      </c>
      <c r="W47" s="43">
        <v>3.1680000000000001</v>
      </c>
      <c r="X47" s="41">
        <v>66</v>
      </c>
      <c r="Y47" s="42">
        <f t="shared" si="6"/>
        <v>63.235983324576303</v>
      </c>
      <c r="Z47" s="39">
        <v>1.7492299999999998</v>
      </c>
      <c r="AA47" s="41">
        <f t="shared" si="8"/>
        <v>36.442291666666662</v>
      </c>
      <c r="AB47" s="42">
        <f t="shared" si="7"/>
        <v>34.916123456707254</v>
      </c>
    </row>
    <row r="48" spans="1:28" ht="19.75" customHeight="1" x14ac:dyDescent="0.35">
      <c r="A48" s="34">
        <v>45</v>
      </c>
      <c r="B48" s="35" t="s">
        <v>278</v>
      </c>
      <c r="C48" s="36" t="s">
        <v>204</v>
      </c>
      <c r="D48" s="55" t="s">
        <v>284</v>
      </c>
      <c r="E48" s="55" t="s">
        <v>282</v>
      </c>
      <c r="F48" s="58"/>
      <c r="G48" s="36" t="s">
        <v>159</v>
      </c>
      <c r="H48" s="36">
        <v>1</v>
      </c>
      <c r="I48" s="36">
        <v>240</v>
      </c>
      <c r="J48" s="36">
        <v>0.2</v>
      </c>
      <c r="K48" s="37">
        <v>30.4</v>
      </c>
      <c r="L48" s="37">
        <v>1010</v>
      </c>
      <c r="M48" s="38">
        <v>1.2350000000000001</v>
      </c>
      <c r="N48" s="39">
        <v>3.0200900000000002</v>
      </c>
      <c r="O48" s="38">
        <f t="shared" si="0"/>
        <v>37.189374999999998</v>
      </c>
      <c r="P48" s="40">
        <f t="shared" si="1"/>
        <v>36.410305988500099</v>
      </c>
      <c r="Q48" s="39">
        <v>2.9995000000000003</v>
      </c>
      <c r="R48" s="41">
        <f t="shared" si="2"/>
        <v>62.489583333333336</v>
      </c>
      <c r="S48" s="42">
        <f t="shared" si="3"/>
        <v>61.180507880558437</v>
      </c>
      <c r="T48" s="39">
        <v>1.2373999999999998</v>
      </c>
      <c r="U48" s="41">
        <f t="shared" si="4"/>
        <v>25.779166666666661</v>
      </c>
      <c r="V48" s="42">
        <f t="shared" si="5"/>
        <v>25.239126671579594</v>
      </c>
      <c r="W48" s="43">
        <v>4.3146399999999998</v>
      </c>
      <c r="X48" s="41">
        <v>89.888333333333321</v>
      </c>
      <c r="Y48" s="42">
        <f t="shared" si="6"/>
        <v>88.005289722211245</v>
      </c>
      <c r="Z48" s="39">
        <v>1.4686999999999999</v>
      </c>
      <c r="AA48" s="41">
        <f t="shared" si="8"/>
        <v>30.597916666666663</v>
      </c>
      <c r="AB48" s="42">
        <f t="shared" si="7"/>
        <v>29.956930129747011</v>
      </c>
    </row>
    <row r="49" spans="1:28" s="43" customFormat="1" ht="19.75" customHeight="1" x14ac:dyDescent="0.35">
      <c r="A49" s="34">
        <v>46</v>
      </c>
      <c r="B49" s="35" t="s">
        <v>277</v>
      </c>
      <c r="C49" s="36" t="s">
        <v>205</v>
      </c>
      <c r="D49" s="55" t="s">
        <v>279</v>
      </c>
      <c r="E49" s="55" t="s">
        <v>280</v>
      </c>
      <c r="F49" s="36"/>
      <c r="G49" s="36"/>
      <c r="H49" s="36">
        <v>1</v>
      </c>
      <c r="I49" s="36">
        <v>240</v>
      </c>
      <c r="J49" s="36">
        <v>0.2</v>
      </c>
      <c r="K49" s="37">
        <v>28</v>
      </c>
      <c r="L49" s="37">
        <v>1012</v>
      </c>
      <c r="M49" s="38">
        <v>1.2350000000000001</v>
      </c>
      <c r="N49" s="39">
        <v>1.7728999999999999</v>
      </c>
      <c r="O49" s="38">
        <f t="shared" si="0"/>
        <v>11.206249999999995</v>
      </c>
      <c r="P49" s="40">
        <f t="shared" si="1"/>
        <v>11.080872951662887</v>
      </c>
      <c r="Q49" s="39">
        <v>1.0750999999999999</v>
      </c>
      <c r="R49" s="41">
        <f t="shared" si="2"/>
        <v>22.397916666666664</v>
      </c>
      <c r="S49" s="42">
        <f t="shared" si="3"/>
        <v>22.147325730308186</v>
      </c>
      <c r="T49" s="39">
        <v>0.21740000000000001</v>
      </c>
      <c r="U49" s="41">
        <f t="shared" si="4"/>
        <v>4.5291666666666668</v>
      </c>
      <c r="V49" s="42">
        <f t="shared" si="5"/>
        <v>4.4784937343214581</v>
      </c>
      <c r="W49" s="43">
        <v>0.47058000000000005</v>
      </c>
      <c r="X49" s="41">
        <v>9.8037500000000009</v>
      </c>
      <c r="Y49" s="42">
        <f t="shared" si="6"/>
        <v>9.6940643123136709</v>
      </c>
      <c r="Z49" s="39">
        <v>0.1232</v>
      </c>
      <c r="AA49" s="41">
        <f t="shared" si="8"/>
        <v>2.5666666666666669</v>
      </c>
      <c r="AB49" s="42">
        <f t="shared" si="7"/>
        <v>2.5379504510966133</v>
      </c>
    </row>
    <row r="50" spans="1:28" s="43" customFormat="1" ht="19.75" customHeight="1" x14ac:dyDescent="0.35">
      <c r="A50" s="34">
        <v>47</v>
      </c>
      <c r="B50" s="35" t="s">
        <v>277</v>
      </c>
      <c r="C50" s="36" t="s">
        <v>206</v>
      </c>
      <c r="D50" s="55" t="s">
        <v>279</v>
      </c>
      <c r="E50" s="55" t="s">
        <v>281</v>
      </c>
      <c r="F50" s="36"/>
      <c r="G50" s="36"/>
      <c r="H50" s="36">
        <v>1</v>
      </c>
      <c r="I50" s="36">
        <v>240</v>
      </c>
      <c r="J50" s="36">
        <v>0.2</v>
      </c>
      <c r="K50" s="37">
        <v>35.4</v>
      </c>
      <c r="L50" s="37">
        <v>1007</v>
      </c>
      <c r="M50" s="38">
        <v>1.2350000000000001</v>
      </c>
      <c r="N50" s="39">
        <v>1.6359000000000001</v>
      </c>
      <c r="O50" s="38">
        <f t="shared" si="0"/>
        <v>8.3520833333333346</v>
      </c>
      <c r="P50" s="40">
        <f t="shared" si="1"/>
        <v>8.0206501186345367</v>
      </c>
      <c r="Q50" s="39">
        <v>1.1258999999999999</v>
      </c>
      <c r="R50" s="41">
        <f t="shared" si="2"/>
        <v>23.456249999999997</v>
      </c>
      <c r="S50" s="42">
        <f t="shared" si="3"/>
        <v>22.525442675406889</v>
      </c>
      <c r="T50" s="39">
        <v>0.22750000000000001</v>
      </c>
      <c r="U50" s="41">
        <f t="shared" si="4"/>
        <v>4.739583333333333</v>
      </c>
      <c r="V50" s="42">
        <f t="shared" si="5"/>
        <v>4.5515038712630496</v>
      </c>
      <c r="W50" s="43">
        <v>0.47449999999999998</v>
      </c>
      <c r="X50" s="41">
        <v>9.8854166666666661</v>
      </c>
      <c r="Y50" s="42">
        <f t="shared" si="6"/>
        <v>9.4931366457772164</v>
      </c>
      <c r="Z50" s="39">
        <v>0.2044</v>
      </c>
      <c r="AA50" s="41">
        <f t="shared" si="8"/>
        <v>4.2583333333333329</v>
      </c>
      <c r="AB50" s="42">
        <f t="shared" si="7"/>
        <v>4.0893511704886469</v>
      </c>
    </row>
    <row r="51" spans="1:28" s="43" customFormat="1" ht="19.75" customHeight="1" x14ac:dyDescent="0.35">
      <c r="A51" s="34">
        <v>48</v>
      </c>
      <c r="B51" s="35" t="s">
        <v>277</v>
      </c>
      <c r="C51" s="36" t="s">
        <v>207</v>
      </c>
      <c r="D51" s="55" t="s">
        <v>279</v>
      </c>
      <c r="E51" s="55" t="s">
        <v>282</v>
      </c>
      <c r="F51" s="36"/>
      <c r="G51" s="36"/>
      <c r="H51" s="36">
        <v>1</v>
      </c>
      <c r="I51" s="36">
        <v>240</v>
      </c>
      <c r="J51" s="36">
        <v>0.2</v>
      </c>
      <c r="K51" s="37">
        <v>29</v>
      </c>
      <c r="L51" s="37">
        <v>1008</v>
      </c>
      <c r="M51" s="38">
        <v>1.2350000000000001</v>
      </c>
      <c r="N51" s="39">
        <v>1.5537000000000001</v>
      </c>
      <c r="O51" s="38">
        <f t="shared" si="0"/>
        <v>6.6395833333333325</v>
      </c>
      <c r="P51" s="40">
        <f t="shared" si="1"/>
        <v>6.5176955014926383</v>
      </c>
      <c r="Q51" s="39">
        <v>0.99870000000000003</v>
      </c>
      <c r="R51" s="41">
        <f t="shared" si="2"/>
        <v>20.806249999999999</v>
      </c>
      <c r="S51" s="42">
        <f t="shared" si="3"/>
        <v>20.424293998558827</v>
      </c>
      <c r="T51" s="39">
        <v>0.21049999999999999</v>
      </c>
      <c r="U51" s="41">
        <f t="shared" si="4"/>
        <v>4.3854166666666661</v>
      </c>
      <c r="V51" s="42">
        <f t="shared" si="5"/>
        <v>4.3049102700476949</v>
      </c>
      <c r="W51" s="43">
        <v>0.37466000000000005</v>
      </c>
      <c r="X51" s="41">
        <v>7.8054166666666678</v>
      </c>
      <c r="Y51" s="42">
        <f t="shared" si="6"/>
        <v>7.6621267542806173</v>
      </c>
      <c r="Z51" s="39">
        <v>0.13719999999999999</v>
      </c>
      <c r="AA51" s="41">
        <f t="shared" si="8"/>
        <v>2.8583333333333329</v>
      </c>
      <c r="AB51" s="42">
        <f t="shared" si="7"/>
        <v>2.8058607555845314</v>
      </c>
    </row>
    <row r="52" spans="1:28" s="43" customFormat="1" ht="19.75" customHeight="1" x14ac:dyDescent="0.35">
      <c r="A52" s="34">
        <v>49</v>
      </c>
      <c r="B52" s="35" t="s">
        <v>277</v>
      </c>
      <c r="C52" s="36" t="s">
        <v>208</v>
      </c>
      <c r="D52" s="55" t="s">
        <v>283</v>
      </c>
      <c r="E52" s="55" t="s">
        <v>280</v>
      </c>
      <c r="F52" s="36"/>
      <c r="G52" s="36"/>
      <c r="H52" s="36">
        <v>1</v>
      </c>
      <c r="I52" s="36">
        <v>240</v>
      </c>
      <c r="J52" s="36">
        <v>0.2</v>
      </c>
      <c r="K52" s="37">
        <v>28</v>
      </c>
      <c r="L52" s="37">
        <v>1012</v>
      </c>
      <c r="M52" s="38">
        <v>1.2350000000000001</v>
      </c>
      <c r="N52" s="39">
        <v>2.6156999999999999</v>
      </c>
      <c r="O52" s="38">
        <f t="shared" si="0"/>
        <v>28.764583333333327</v>
      </c>
      <c r="P52" s="40">
        <f t="shared" si="1"/>
        <v>28.442761264846538</v>
      </c>
      <c r="Q52" s="39">
        <v>1.5992</v>
      </c>
      <c r="R52" s="41">
        <f t="shared" si="2"/>
        <v>33.316666666666663</v>
      </c>
      <c r="S52" s="42">
        <f t="shared" si="3"/>
        <v>32.943915271052788</v>
      </c>
      <c r="T52" s="39">
        <v>0.92279999999999995</v>
      </c>
      <c r="U52" s="41">
        <f t="shared" si="4"/>
        <v>19.224999999999998</v>
      </c>
      <c r="V52" s="42">
        <f t="shared" si="5"/>
        <v>19.009908086623003</v>
      </c>
      <c r="W52" s="43">
        <v>1.8139400000000001</v>
      </c>
      <c r="X52" s="41">
        <v>37.790416666666665</v>
      </c>
      <c r="Y52" s="42">
        <f t="shared" si="6"/>
        <v>37.367612347907389</v>
      </c>
      <c r="Z52" s="39">
        <v>1.1422999999999999</v>
      </c>
      <c r="AA52" s="41">
        <f t="shared" si="8"/>
        <v>23.797916666666662</v>
      </c>
      <c r="AB52" s="42">
        <f t="shared" si="7"/>
        <v>23.531662339997244</v>
      </c>
    </row>
    <row r="53" spans="1:28" s="43" customFormat="1" ht="19.75" customHeight="1" x14ac:dyDescent="0.35">
      <c r="A53" s="34">
        <v>50</v>
      </c>
      <c r="B53" s="35" t="s">
        <v>277</v>
      </c>
      <c r="C53" s="36" t="s">
        <v>209</v>
      </c>
      <c r="D53" s="55" t="s">
        <v>283</v>
      </c>
      <c r="E53" s="55" t="s">
        <v>281</v>
      </c>
      <c r="F53" s="36"/>
      <c r="G53" s="36"/>
      <c r="H53" s="36">
        <v>1</v>
      </c>
      <c r="I53" s="36">
        <v>240</v>
      </c>
      <c r="J53" s="36">
        <v>0.2</v>
      </c>
      <c r="K53" s="37">
        <v>35.4</v>
      </c>
      <c r="L53" s="37">
        <v>1007</v>
      </c>
      <c r="M53" s="38">
        <v>1.2350000000000001</v>
      </c>
      <c r="N53" s="39">
        <v>3.2976999999999999</v>
      </c>
      <c r="O53" s="38">
        <f t="shared" si="0"/>
        <v>42.972916666666656</v>
      </c>
      <c r="P53" s="40">
        <f t="shared" si="1"/>
        <v>41.267635319799076</v>
      </c>
      <c r="Q53" s="39">
        <v>2.3128000000000002</v>
      </c>
      <c r="R53" s="41">
        <f t="shared" si="2"/>
        <v>48.183333333333337</v>
      </c>
      <c r="S53" s="42">
        <f t="shared" si="3"/>
        <v>46.271288586624976</v>
      </c>
      <c r="T53" s="39">
        <v>0.9163</v>
      </c>
      <c r="U53" s="41">
        <f t="shared" si="4"/>
        <v>19.089583333333334</v>
      </c>
      <c r="V53" s="42">
        <f t="shared" si="5"/>
        <v>18.332057130717949</v>
      </c>
      <c r="W53" s="43">
        <v>2.7032600000000002</v>
      </c>
      <c r="X53" s="41">
        <v>56.317916666666669</v>
      </c>
      <c r="Y53" s="42">
        <f t="shared" si="6"/>
        <v>54.083069692441981</v>
      </c>
      <c r="Z53" s="39">
        <v>1.4891999999999999</v>
      </c>
      <c r="AA53" s="41">
        <f t="shared" si="8"/>
        <v>31.024999999999995</v>
      </c>
      <c r="AB53" s="42">
        <f t="shared" si="7"/>
        <v>29.79384424213157</v>
      </c>
    </row>
    <row r="54" spans="1:28" s="43" customFormat="1" ht="19.75" customHeight="1" x14ac:dyDescent="0.35">
      <c r="A54" s="34">
        <v>51</v>
      </c>
      <c r="B54" s="35" t="s">
        <v>277</v>
      </c>
      <c r="C54" s="36" t="s">
        <v>210</v>
      </c>
      <c r="D54" s="55" t="s">
        <v>283</v>
      </c>
      <c r="E54" s="55" t="s">
        <v>282</v>
      </c>
      <c r="F54" s="36"/>
      <c r="G54" s="36"/>
      <c r="H54" s="36">
        <v>1</v>
      </c>
      <c r="I54" s="36">
        <v>240</v>
      </c>
      <c r="J54" s="36">
        <v>0.2</v>
      </c>
      <c r="K54" s="37">
        <v>29</v>
      </c>
      <c r="L54" s="37">
        <v>1008</v>
      </c>
      <c r="M54" s="38">
        <v>1.2350000000000001</v>
      </c>
      <c r="N54" s="39">
        <v>2.3788999999999998</v>
      </c>
      <c r="O54" s="38">
        <f t="shared" si="0"/>
        <v>23.831249999999994</v>
      </c>
      <c r="P54" s="40">
        <f t="shared" si="1"/>
        <v>23.393761795285311</v>
      </c>
      <c r="Q54" s="39">
        <v>2.0573999999999999</v>
      </c>
      <c r="R54" s="41">
        <f t="shared" si="2"/>
        <v>42.862499999999997</v>
      </c>
      <c r="S54" s="42">
        <f t="shared" si="3"/>
        <v>42.075640805682319</v>
      </c>
      <c r="T54" s="39">
        <v>1.5195999999999998</v>
      </c>
      <c r="U54" s="41">
        <f t="shared" si="4"/>
        <v>31.658333333333328</v>
      </c>
      <c r="V54" s="42">
        <f t="shared" si="5"/>
        <v>31.077157464914386</v>
      </c>
      <c r="W54" s="43">
        <v>2.1565799999999999</v>
      </c>
      <c r="X54" s="41">
        <v>44.928750000000001</v>
      </c>
      <c r="Y54" s="42">
        <f t="shared" si="6"/>
        <v>44.103959098239713</v>
      </c>
      <c r="Z54" s="39">
        <v>1.7474999999999998</v>
      </c>
      <c r="AA54" s="41">
        <f t="shared" si="8"/>
        <v>36.406249999999993</v>
      </c>
      <c r="AB54" s="42">
        <f t="shared" si="7"/>
        <v>35.737913049445829</v>
      </c>
    </row>
    <row r="55" spans="1:28" s="43" customFormat="1" ht="19.75" customHeight="1" x14ac:dyDescent="0.35">
      <c r="A55" s="34">
        <v>52</v>
      </c>
      <c r="B55" s="35" t="s">
        <v>277</v>
      </c>
      <c r="C55" s="36" t="s">
        <v>211</v>
      </c>
      <c r="D55" s="55" t="s">
        <v>284</v>
      </c>
      <c r="E55" s="55" t="s">
        <v>280</v>
      </c>
      <c r="F55" s="36"/>
      <c r="G55" s="36"/>
      <c r="H55" s="36">
        <v>1</v>
      </c>
      <c r="I55" s="36">
        <v>240</v>
      </c>
      <c r="J55" s="36">
        <v>0.2</v>
      </c>
      <c r="K55" s="37">
        <v>28</v>
      </c>
      <c r="L55" s="37">
        <v>1012</v>
      </c>
      <c r="M55" s="38">
        <v>1.2350000000000001</v>
      </c>
      <c r="N55" s="39">
        <v>1.9515</v>
      </c>
      <c r="O55" s="38">
        <f t="shared" si="0"/>
        <v>14.92708333333333</v>
      </c>
      <c r="P55" s="40">
        <f t="shared" si="1"/>
        <v>14.760077095866258</v>
      </c>
      <c r="Q55" s="39">
        <v>1.95635</v>
      </c>
      <c r="R55" s="41">
        <f t="shared" si="2"/>
        <v>40.757291666666667</v>
      </c>
      <c r="S55" s="42">
        <f t="shared" si="3"/>
        <v>40.301293547101132</v>
      </c>
      <c r="T55" s="39">
        <v>0.80662</v>
      </c>
      <c r="U55" s="41">
        <f t="shared" si="4"/>
        <v>16.804583333333333</v>
      </c>
      <c r="V55" s="42">
        <f t="shared" si="5"/>
        <v>16.616571370645701</v>
      </c>
      <c r="W55" s="43">
        <v>1.5296000000000001</v>
      </c>
      <c r="X55" s="41">
        <v>31.866666666666667</v>
      </c>
      <c r="Y55" s="42">
        <f t="shared" si="6"/>
        <v>31.510138068160551</v>
      </c>
      <c r="Z55" s="39">
        <v>1.0116999999999998</v>
      </c>
      <c r="AA55" s="41">
        <f t="shared" si="8"/>
        <v>21.077083333333331</v>
      </c>
      <c r="AB55" s="42">
        <f t="shared" si="7"/>
        <v>20.841270059857493</v>
      </c>
    </row>
    <row r="56" spans="1:28" s="43" customFormat="1" ht="19.75" customHeight="1" x14ac:dyDescent="0.35">
      <c r="A56" s="34">
        <v>53</v>
      </c>
      <c r="B56" s="35" t="s">
        <v>277</v>
      </c>
      <c r="C56" s="36" t="s">
        <v>212</v>
      </c>
      <c r="D56" s="55" t="s">
        <v>284</v>
      </c>
      <c r="E56" s="55" t="s">
        <v>281</v>
      </c>
      <c r="F56" s="36"/>
      <c r="G56" s="36"/>
      <c r="H56" s="36">
        <v>1</v>
      </c>
      <c r="I56" s="36">
        <v>240</v>
      </c>
      <c r="J56" s="36">
        <v>0.2</v>
      </c>
      <c r="K56" s="37">
        <v>35.4</v>
      </c>
      <c r="L56" s="37">
        <v>1007</v>
      </c>
      <c r="M56" s="38">
        <v>1.2350000000000001</v>
      </c>
      <c r="N56" s="39">
        <v>2.3434999999999997</v>
      </c>
      <c r="O56" s="38">
        <f t="shared" si="0"/>
        <v>23.093749999999993</v>
      </c>
      <c r="P56" s="40">
        <f t="shared" si="1"/>
        <v>22.177327654044348</v>
      </c>
      <c r="Q56" s="39">
        <v>4.3823449999999999</v>
      </c>
      <c r="R56" s="41">
        <f t="shared" si="2"/>
        <v>91.298854166666658</v>
      </c>
      <c r="S56" s="42">
        <f t="shared" si="3"/>
        <v>87.67586915477041</v>
      </c>
      <c r="T56" s="39">
        <v>1.7462</v>
      </c>
      <c r="U56" s="41">
        <f t="shared" si="4"/>
        <v>36.379166666666663</v>
      </c>
      <c r="V56" s="42">
        <f t="shared" si="5"/>
        <v>34.935543120877085</v>
      </c>
      <c r="W56" s="43">
        <v>3.0599400000000001</v>
      </c>
      <c r="X56" s="41">
        <v>63.748750000000001</v>
      </c>
      <c r="Y56" s="42">
        <f t="shared" si="6"/>
        <v>61.219027498165516</v>
      </c>
      <c r="Z56" s="39">
        <v>1.68882</v>
      </c>
      <c r="AA56" s="41">
        <f t="shared" si="8"/>
        <v>35.183749999999996</v>
      </c>
      <c r="AB56" s="42">
        <f t="shared" si="7"/>
        <v>33.787563814797636</v>
      </c>
    </row>
    <row r="57" spans="1:28" s="43" customFormat="1" ht="19.75" customHeight="1" x14ac:dyDescent="0.35">
      <c r="A57" s="34">
        <v>54</v>
      </c>
      <c r="B57" s="35" t="s">
        <v>277</v>
      </c>
      <c r="C57" s="36" t="s">
        <v>213</v>
      </c>
      <c r="D57" s="55" t="s">
        <v>284</v>
      </c>
      <c r="E57" s="55" t="s">
        <v>282</v>
      </c>
      <c r="F57" s="36"/>
      <c r="G57" s="36"/>
      <c r="H57" s="36">
        <v>1</v>
      </c>
      <c r="I57" s="36">
        <v>240</v>
      </c>
      <c r="J57" s="36">
        <v>0.2</v>
      </c>
      <c r="K57" s="37">
        <v>29</v>
      </c>
      <c r="L57" s="37">
        <v>1008</v>
      </c>
      <c r="M57" s="38">
        <v>1.2350000000000001</v>
      </c>
      <c r="N57" s="39">
        <v>2.5153999999999996</v>
      </c>
      <c r="O57" s="38">
        <f t="shared" si="0"/>
        <v>26.67499999999999</v>
      </c>
      <c r="P57" s="40">
        <f t="shared" si="1"/>
        <v>26.185306934769919</v>
      </c>
      <c r="Q57" s="39">
        <v>3.2307000000000001</v>
      </c>
      <c r="R57" s="41">
        <f t="shared" si="2"/>
        <v>67.306250000000006</v>
      </c>
      <c r="S57" s="42">
        <f t="shared" si="3"/>
        <v>66.070658477164343</v>
      </c>
      <c r="T57" s="39">
        <v>1.3027</v>
      </c>
      <c r="U57" s="41">
        <f t="shared" si="4"/>
        <v>27.139583333333331</v>
      </c>
      <c r="V57" s="42">
        <f t="shared" si="5"/>
        <v>26.641361561953122</v>
      </c>
      <c r="W57" s="43">
        <v>1.877688</v>
      </c>
      <c r="X57" s="41">
        <v>39.118499999999997</v>
      </c>
      <c r="Y57" s="42">
        <f t="shared" si="6"/>
        <v>38.40037223346944</v>
      </c>
      <c r="Z57" s="44">
        <v>1.0091999999999999</v>
      </c>
      <c r="AA57" s="41">
        <f t="shared" si="8"/>
        <v>21.024999999999999</v>
      </c>
      <c r="AB57" s="42">
        <f t="shared" si="7"/>
        <v>20.639028240057641</v>
      </c>
    </row>
    <row r="58" spans="1:28" s="43" customFormat="1" ht="19.75" customHeight="1" x14ac:dyDescent="0.35">
      <c r="A58" s="34">
        <v>55</v>
      </c>
      <c r="B58" s="35" t="s">
        <v>277</v>
      </c>
      <c r="C58" s="36" t="s">
        <v>214</v>
      </c>
      <c r="D58" s="55" t="s">
        <v>279</v>
      </c>
      <c r="E58" s="55" t="s">
        <v>280</v>
      </c>
      <c r="F58" s="36"/>
      <c r="G58" s="36"/>
      <c r="H58" s="36">
        <v>1</v>
      </c>
      <c r="I58" s="36">
        <v>240</v>
      </c>
      <c r="J58" s="36">
        <v>0.2</v>
      </c>
      <c r="K58" s="37">
        <v>32.5</v>
      </c>
      <c r="L58" s="37">
        <v>1010</v>
      </c>
      <c r="M58" s="38">
        <v>1.2350000000000001</v>
      </c>
      <c r="N58" s="39">
        <v>1.6263000000000001</v>
      </c>
      <c r="O58" s="38">
        <f t="shared" si="0"/>
        <v>8.1520833333333336</v>
      </c>
      <c r="P58" s="40">
        <f t="shared" si="1"/>
        <v>7.9264444689425391</v>
      </c>
      <c r="Q58" s="39">
        <v>0.77429999999999999</v>
      </c>
      <c r="R58" s="41">
        <f t="shared" si="2"/>
        <v>16.131249999999998</v>
      </c>
      <c r="S58" s="42">
        <f t="shared" si="3"/>
        <v>15.684758375420923</v>
      </c>
      <c r="T58" s="39">
        <v>0.29482999999999998</v>
      </c>
      <c r="U58" s="41">
        <f t="shared" si="4"/>
        <v>6.142291666666666</v>
      </c>
      <c r="V58" s="42">
        <f t="shared" si="5"/>
        <v>5.9722811724465341</v>
      </c>
      <c r="W58" s="43">
        <v>0.53046000000000004</v>
      </c>
      <c r="X58" s="41">
        <v>11.051250000000001</v>
      </c>
      <c r="Y58" s="42">
        <f t="shared" si="6"/>
        <v>10.74536604394393</v>
      </c>
      <c r="Z58" s="44">
        <v>5.6390000000000003E-2</v>
      </c>
      <c r="AA58" s="41">
        <f t="shared" si="8"/>
        <v>1.1747916666666667</v>
      </c>
      <c r="AB58" s="42">
        <f t="shared" si="7"/>
        <v>1.142274990042601</v>
      </c>
    </row>
    <row r="59" spans="1:28" s="43" customFormat="1" ht="19.75" customHeight="1" x14ac:dyDescent="0.35">
      <c r="A59" s="34">
        <v>56</v>
      </c>
      <c r="B59" s="35" t="s">
        <v>277</v>
      </c>
      <c r="C59" s="36" t="s">
        <v>215</v>
      </c>
      <c r="D59" s="55" t="s">
        <v>279</v>
      </c>
      <c r="E59" s="55" t="s">
        <v>281</v>
      </c>
      <c r="F59" s="36"/>
      <c r="G59" s="36"/>
      <c r="H59" s="36">
        <v>1</v>
      </c>
      <c r="I59" s="36">
        <v>240</v>
      </c>
      <c r="J59" s="36">
        <v>0.2</v>
      </c>
      <c r="K59" s="37">
        <v>37.200000000000003</v>
      </c>
      <c r="L59" s="37">
        <v>1005</v>
      </c>
      <c r="M59" s="38">
        <v>1.2350000000000001</v>
      </c>
      <c r="N59" s="39">
        <v>1.635</v>
      </c>
      <c r="O59" s="38">
        <f t="shared" si="0"/>
        <v>8.3333333333333321</v>
      </c>
      <c r="P59" s="40">
        <f t="shared" si="1"/>
        <v>7.9404053607559275</v>
      </c>
      <c r="Q59" s="39">
        <v>1.0181</v>
      </c>
      <c r="R59" s="41">
        <f t="shared" si="2"/>
        <v>21.210416666666667</v>
      </c>
      <c r="S59" s="42">
        <f t="shared" si="3"/>
        <v>20.210316744464031</v>
      </c>
      <c r="T59" s="39">
        <v>0.28170000000000001</v>
      </c>
      <c r="U59" s="41">
        <f t="shared" si="4"/>
        <v>5.8687500000000004</v>
      </c>
      <c r="V59" s="42">
        <f t="shared" si="5"/>
        <v>5.5920304753123631</v>
      </c>
      <c r="W59" s="43">
        <v>0.50912000000000002</v>
      </c>
      <c r="X59" s="41">
        <v>10.606666666666667</v>
      </c>
      <c r="Y59" s="42">
        <f t="shared" si="6"/>
        <v>10.106547943170147</v>
      </c>
      <c r="Z59" s="44">
        <v>8.2100000000000006E-2</v>
      </c>
      <c r="AA59" s="41">
        <f t="shared" si="8"/>
        <v>1.7104166666666667</v>
      </c>
      <c r="AB59" s="42">
        <f t="shared" si="7"/>
        <v>1.6297682002951546</v>
      </c>
    </row>
    <row r="60" spans="1:28" s="26" customFormat="1" ht="19.75" customHeight="1" x14ac:dyDescent="0.35">
      <c r="A60" s="18">
        <v>57</v>
      </c>
      <c r="B60" s="19" t="s">
        <v>277</v>
      </c>
      <c r="C60" s="20" t="s">
        <v>216</v>
      </c>
      <c r="D60" s="55" t="s">
        <v>279</v>
      </c>
      <c r="E60" s="55" t="s">
        <v>282</v>
      </c>
      <c r="F60" s="20"/>
      <c r="G60" s="20"/>
      <c r="H60" s="20">
        <v>1</v>
      </c>
      <c r="I60" s="20">
        <v>240</v>
      </c>
      <c r="J60" s="20">
        <v>0.2</v>
      </c>
      <c r="K60" s="31">
        <v>33.4</v>
      </c>
      <c r="L60" s="37">
        <v>1008</v>
      </c>
      <c r="M60" s="21">
        <v>1.2350000000000001</v>
      </c>
      <c r="N60" s="23">
        <v>1.63364</v>
      </c>
      <c r="O60" s="21">
        <f t="shared" si="0"/>
        <v>8.3049999999999979</v>
      </c>
      <c r="P60" s="22">
        <f t="shared" si="1"/>
        <v>8.0354658477522687</v>
      </c>
      <c r="Q60" s="23">
        <v>1.0161</v>
      </c>
      <c r="R60" s="24">
        <f t="shared" si="2"/>
        <v>21.168749999999999</v>
      </c>
      <c r="S60" s="25">
        <f t="shared" si="3"/>
        <v>20.481730001758681</v>
      </c>
      <c r="T60" s="23">
        <v>0.31069999999999998</v>
      </c>
      <c r="U60" s="24">
        <f t="shared" si="4"/>
        <v>6.4729166666666664</v>
      </c>
      <c r="V60" s="25">
        <f t="shared" si="5"/>
        <v>6.2628417592229333</v>
      </c>
      <c r="W60" s="26">
        <v>0.55837999999999999</v>
      </c>
      <c r="X60" s="24">
        <v>11.632916666666667</v>
      </c>
      <c r="Y60" s="25">
        <f t="shared" si="6"/>
        <v>11.255376831396529</v>
      </c>
      <c r="Z60" s="28">
        <v>0.1108</v>
      </c>
      <c r="AA60" s="24">
        <f t="shared" si="8"/>
        <v>2.3083333333333331</v>
      </c>
      <c r="AB60" s="25">
        <f t="shared" si="7"/>
        <v>2.2334176598709394</v>
      </c>
    </row>
    <row r="61" spans="1:28" s="43" customFormat="1" ht="19.75" customHeight="1" x14ac:dyDescent="0.35">
      <c r="A61" s="34">
        <v>58</v>
      </c>
      <c r="B61" s="35" t="s">
        <v>277</v>
      </c>
      <c r="C61" s="36" t="s">
        <v>217</v>
      </c>
      <c r="D61" s="55" t="s">
        <v>283</v>
      </c>
      <c r="E61" s="55" t="s">
        <v>280</v>
      </c>
      <c r="F61" s="36"/>
      <c r="G61" s="36"/>
      <c r="H61" s="36">
        <v>1</v>
      </c>
      <c r="I61" s="36">
        <v>240</v>
      </c>
      <c r="J61" s="36">
        <v>0.2</v>
      </c>
      <c r="K61" s="37">
        <v>32.5</v>
      </c>
      <c r="L61" s="37">
        <v>1010</v>
      </c>
      <c r="M61" s="36">
        <v>1.2350000000000001</v>
      </c>
      <c r="N61" s="44">
        <v>2.5288999999999997</v>
      </c>
      <c r="O61" s="36">
        <f t="shared" si="0"/>
        <v>26.95624999999999</v>
      </c>
      <c r="P61" s="40">
        <f t="shared" si="1"/>
        <v>26.210136719562353</v>
      </c>
      <c r="Q61" s="44">
        <v>2.5914000000000001</v>
      </c>
      <c r="R61" s="45">
        <f t="shared" si="2"/>
        <v>53.987500000000004</v>
      </c>
      <c r="S61" s="42">
        <f t="shared" si="3"/>
        <v>52.49319753850677</v>
      </c>
      <c r="T61" s="44">
        <v>1.1142000000000001</v>
      </c>
      <c r="U61" s="45">
        <f t="shared" si="4"/>
        <v>23.212500000000002</v>
      </c>
      <c r="V61" s="42">
        <f t="shared" si="5"/>
        <v>22.570008758742087</v>
      </c>
      <c r="W61" s="43">
        <v>2.3089</v>
      </c>
      <c r="X61" s="45">
        <v>48.102083333333333</v>
      </c>
      <c r="Y61" s="42">
        <f t="shared" si="6"/>
        <v>46.770681406443721</v>
      </c>
      <c r="Z61" s="44">
        <v>1.1854</v>
      </c>
      <c r="AA61" s="45">
        <f t="shared" si="8"/>
        <v>24.695833333333333</v>
      </c>
      <c r="AB61" s="42">
        <f t="shared" si="7"/>
        <v>24.012285390964699</v>
      </c>
    </row>
    <row r="62" spans="1:28" s="43" customFormat="1" ht="19.75" customHeight="1" x14ac:dyDescent="0.35">
      <c r="A62" s="34">
        <v>59</v>
      </c>
      <c r="B62" s="35" t="s">
        <v>277</v>
      </c>
      <c r="C62" s="36" t="s">
        <v>218</v>
      </c>
      <c r="D62" s="55" t="s">
        <v>283</v>
      </c>
      <c r="E62" s="55" t="s">
        <v>281</v>
      </c>
      <c r="F62" s="36"/>
      <c r="G62" s="36"/>
      <c r="H62" s="36">
        <v>1</v>
      </c>
      <c r="I62" s="36">
        <v>240</v>
      </c>
      <c r="J62" s="36">
        <v>0.2</v>
      </c>
      <c r="K62" s="37">
        <v>37.200000000000003</v>
      </c>
      <c r="L62" s="37">
        <v>1005</v>
      </c>
      <c r="M62" s="36">
        <v>1.2350000000000001</v>
      </c>
      <c r="N62" s="44">
        <v>2.7209999999999996</v>
      </c>
      <c r="O62" s="36">
        <f t="shared" si="0"/>
        <v>30.958333333333321</v>
      </c>
      <c r="P62" s="40">
        <f t="shared" si="1"/>
        <v>29.498605915208266</v>
      </c>
      <c r="Q62" s="44">
        <v>3.2568000000000001</v>
      </c>
      <c r="R62" s="45">
        <f t="shared" si="2"/>
        <v>67.850000000000009</v>
      </c>
      <c r="S62" s="42">
        <f t="shared" si="3"/>
        <v>64.650780447274784</v>
      </c>
      <c r="T62" s="44">
        <v>1.2462</v>
      </c>
      <c r="U62" s="45">
        <f t="shared" si="4"/>
        <v>25.962499999999999</v>
      </c>
      <c r="V62" s="42">
        <f t="shared" si="5"/>
        <v>24.738332901435097</v>
      </c>
      <c r="W62" s="43">
        <v>2.6664599999999998</v>
      </c>
      <c r="X62" s="45">
        <v>55.551249999999996</v>
      </c>
      <c r="Y62" s="42">
        <f t="shared" si="6"/>
        <v>52.931933195603136</v>
      </c>
      <c r="Z62" s="44">
        <v>1.6392</v>
      </c>
      <c r="AA62" s="45">
        <f t="shared" si="8"/>
        <v>34.15</v>
      </c>
      <c r="AB62" s="42">
        <f t="shared" si="7"/>
        <v>32.5397811683778</v>
      </c>
    </row>
    <row r="63" spans="1:28" s="43" customFormat="1" ht="19.75" customHeight="1" x14ac:dyDescent="0.35">
      <c r="A63" s="34">
        <v>60</v>
      </c>
      <c r="B63" s="35" t="s">
        <v>277</v>
      </c>
      <c r="C63" s="36" t="s">
        <v>219</v>
      </c>
      <c r="D63" s="55" t="s">
        <v>283</v>
      </c>
      <c r="E63" s="55" t="s">
        <v>282</v>
      </c>
      <c r="F63" s="36"/>
      <c r="G63" s="36"/>
      <c r="H63" s="36">
        <v>1</v>
      </c>
      <c r="I63" s="36">
        <v>240</v>
      </c>
      <c r="J63" s="36">
        <v>0.2</v>
      </c>
      <c r="K63" s="31">
        <v>33.4</v>
      </c>
      <c r="L63" s="37">
        <v>1008</v>
      </c>
      <c r="M63" s="36">
        <v>1.2350000000000001</v>
      </c>
      <c r="N63" s="44">
        <v>3.1246999999999998</v>
      </c>
      <c r="O63" s="36">
        <f t="shared" si="0"/>
        <v>39.368749999999991</v>
      </c>
      <c r="P63" s="40">
        <f t="shared" si="1"/>
        <v>38.091059132293452</v>
      </c>
      <c r="Q63" s="44">
        <v>3.1701999999999999</v>
      </c>
      <c r="R63" s="45">
        <f t="shared" si="2"/>
        <v>66.045833333333334</v>
      </c>
      <c r="S63" s="42">
        <f t="shared" si="3"/>
        <v>63.902352575115998</v>
      </c>
      <c r="T63" s="44">
        <v>1.1939</v>
      </c>
      <c r="U63" s="45">
        <f t="shared" si="4"/>
        <v>24.872916666666665</v>
      </c>
      <c r="V63" s="42">
        <f t="shared" si="5"/>
        <v>24.065680001082264</v>
      </c>
      <c r="W63" s="43">
        <v>2.6062400000000001</v>
      </c>
      <c r="X63" s="45">
        <v>54.296666666666667</v>
      </c>
      <c r="Y63" s="42">
        <f t="shared" si="6"/>
        <v>52.534498572762082</v>
      </c>
      <c r="Z63" s="44">
        <v>1.3729</v>
      </c>
      <c r="AA63" s="45">
        <f t="shared" si="8"/>
        <v>28.602083333333333</v>
      </c>
      <c r="AB63" s="42">
        <f t="shared" si="7"/>
        <v>27.673818639321418</v>
      </c>
    </row>
    <row r="64" spans="1:28" s="43" customFormat="1" ht="19.75" customHeight="1" x14ac:dyDescent="0.35">
      <c r="A64" s="34">
        <v>61</v>
      </c>
      <c r="B64" s="35" t="s">
        <v>277</v>
      </c>
      <c r="C64" s="36" t="s">
        <v>220</v>
      </c>
      <c r="D64" s="55" t="s">
        <v>284</v>
      </c>
      <c r="E64" s="55" t="s">
        <v>280</v>
      </c>
      <c r="F64" s="36"/>
      <c r="G64" s="36"/>
      <c r="H64" s="36">
        <v>1</v>
      </c>
      <c r="I64" s="36">
        <v>240</v>
      </c>
      <c r="J64" s="36">
        <v>0.2</v>
      </c>
      <c r="K64" s="37">
        <v>32.5</v>
      </c>
      <c r="L64" s="37">
        <v>1010</v>
      </c>
      <c r="M64" s="36">
        <v>1.2350000000000001</v>
      </c>
      <c r="N64" s="44">
        <v>2.0046999999999997</v>
      </c>
      <c r="O64" s="36">
        <f t="shared" si="0"/>
        <v>16.035416666666659</v>
      </c>
      <c r="P64" s="40">
        <f t="shared" si="1"/>
        <v>15.591577581766087</v>
      </c>
      <c r="Q64" s="39">
        <v>2.1450289999999996</v>
      </c>
      <c r="R64" s="45">
        <f t="shared" si="2"/>
        <v>44.688104166666655</v>
      </c>
      <c r="S64" s="42">
        <f t="shared" si="3"/>
        <v>43.451196659267424</v>
      </c>
      <c r="T64" s="44">
        <v>1.1942999999999999</v>
      </c>
      <c r="U64" s="45">
        <f t="shared" si="4"/>
        <v>24.881249999999998</v>
      </c>
      <c r="V64" s="42">
        <f t="shared" si="5"/>
        <v>24.192569969992523</v>
      </c>
      <c r="W64" s="43">
        <v>1.93716</v>
      </c>
      <c r="X64" s="45">
        <v>40.357500000000002</v>
      </c>
      <c r="Y64" s="42">
        <f t="shared" si="6"/>
        <v>39.240457877476956</v>
      </c>
      <c r="Z64" s="44">
        <v>0.871</v>
      </c>
      <c r="AA64" s="45">
        <f t="shared" si="8"/>
        <v>18.145833333333332</v>
      </c>
      <c r="AB64" s="42">
        <f t="shared" si="7"/>
        <v>17.643580711599672</v>
      </c>
    </row>
    <row r="65" spans="1:28" s="43" customFormat="1" ht="19.75" customHeight="1" x14ac:dyDescent="0.35">
      <c r="A65" s="34">
        <v>62</v>
      </c>
      <c r="B65" s="35" t="s">
        <v>277</v>
      </c>
      <c r="C65" s="36" t="s">
        <v>221</v>
      </c>
      <c r="D65" s="55" t="s">
        <v>284</v>
      </c>
      <c r="E65" s="55" t="s">
        <v>281</v>
      </c>
      <c r="F65" s="36"/>
      <c r="G65" s="36"/>
      <c r="H65" s="36">
        <v>1</v>
      </c>
      <c r="I65" s="36">
        <v>240</v>
      </c>
      <c r="J65" s="36">
        <v>0.2</v>
      </c>
      <c r="K65" s="37">
        <v>37.200000000000003</v>
      </c>
      <c r="L65" s="37">
        <v>1005</v>
      </c>
      <c r="M65" s="36">
        <v>1.2350000000000001</v>
      </c>
      <c r="N65" s="44">
        <v>3.3771</v>
      </c>
      <c r="O65" s="36">
        <f t="shared" si="0"/>
        <v>44.627083333333331</v>
      </c>
      <c r="P65" s="40">
        <f t="shared" si="1"/>
        <v>42.52285580818819</v>
      </c>
      <c r="Q65" s="39">
        <v>6.9905969999999993</v>
      </c>
      <c r="R65" s="45">
        <f t="shared" si="2"/>
        <v>145.63743749999998</v>
      </c>
      <c r="S65" s="42">
        <f t="shared" si="3"/>
        <v>138.77043473421077</v>
      </c>
      <c r="T65" s="44">
        <v>1.4931999999999999</v>
      </c>
      <c r="U65" s="45">
        <f t="shared" si="4"/>
        <v>31.108333333333331</v>
      </c>
      <c r="V65" s="42">
        <f t="shared" si="5"/>
        <v>29.64153321170188</v>
      </c>
      <c r="W65" s="43">
        <v>3.7272400000000001</v>
      </c>
      <c r="X65" s="45">
        <v>77.650833333333338</v>
      </c>
      <c r="Y65" s="42">
        <f t="shared" si="6"/>
        <v>73.98949119205983</v>
      </c>
      <c r="Z65" s="44">
        <v>1.5742999999999998</v>
      </c>
      <c r="AA65" s="45">
        <f t="shared" si="8"/>
        <v>32.797916666666659</v>
      </c>
      <c r="AB65" s="42">
        <f t="shared" si="7"/>
        <v>31.251450398595143</v>
      </c>
    </row>
    <row r="66" spans="1:28" s="43" customFormat="1" ht="19.75" customHeight="1" x14ac:dyDescent="0.35">
      <c r="A66" s="34">
        <v>63</v>
      </c>
      <c r="B66" s="35" t="s">
        <v>277</v>
      </c>
      <c r="C66" s="36" t="s">
        <v>222</v>
      </c>
      <c r="D66" s="55" t="s">
        <v>284</v>
      </c>
      <c r="E66" s="55" t="s">
        <v>282</v>
      </c>
      <c r="F66" s="36"/>
      <c r="G66" s="36"/>
      <c r="H66" s="36">
        <v>1</v>
      </c>
      <c r="I66" s="36">
        <v>240</v>
      </c>
      <c r="J66" s="36">
        <v>0.2</v>
      </c>
      <c r="K66" s="31">
        <v>33.4</v>
      </c>
      <c r="L66" s="36">
        <v>1007</v>
      </c>
      <c r="M66" s="36">
        <v>1.2350000000000001</v>
      </c>
      <c r="N66" s="44">
        <v>3.4144999999999999</v>
      </c>
      <c r="O66" s="36">
        <f t="shared" si="0"/>
        <v>45.40625</v>
      </c>
      <c r="P66" s="40">
        <f t="shared" si="1"/>
        <v>43.889031486524182</v>
      </c>
      <c r="Q66" s="39">
        <v>6.6582749999999997</v>
      </c>
      <c r="R66" s="45">
        <f t="shared" si="2"/>
        <v>138.71406249999998</v>
      </c>
      <c r="S66" s="42">
        <f t="shared" si="3"/>
        <v>134.07902781414853</v>
      </c>
      <c r="T66" s="44">
        <v>1.22</v>
      </c>
      <c r="U66" s="45">
        <f t="shared" si="4"/>
        <v>25.416666666666664</v>
      </c>
      <c r="V66" s="42">
        <f t="shared" si="5"/>
        <v>24.567386287478552</v>
      </c>
      <c r="W66" s="43">
        <v>3.8650600000000002</v>
      </c>
      <c r="X66" s="45">
        <v>80.522083333333342</v>
      </c>
      <c r="Y66" s="42">
        <f t="shared" si="6"/>
        <v>77.831493478919555</v>
      </c>
      <c r="Z66" s="44">
        <v>1.5371999999999999</v>
      </c>
      <c r="AA66" s="45">
        <f t="shared" si="8"/>
        <v>32.024999999999999</v>
      </c>
      <c r="AB66" s="42">
        <f t="shared" si="7"/>
        <v>30.954906722222976</v>
      </c>
    </row>
    <row r="67" spans="1:28" s="43" customFormat="1" ht="19.75" customHeight="1" x14ac:dyDescent="0.35">
      <c r="A67" s="37">
        <v>1</v>
      </c>
      <c r="B67" s="35" t="s">
        <v>277</v>
      </c>
      <c r="C67" s="36" t="s">
        <v>223</v>
      </c>
      <c r="D67" s="55" t="s">
        <v>279</v>
      </c>
      <c r="E67" s="55" t="s">
        <v>280</v>
      </c>
      <c r="F67" s="36"/>
      <c r="G67" s="36"/>
      <c r="H67" s="36">
        <v>1</v>
      </c>
      <c r="I67" s="36">
        <v>240</v>
      </c>
      <c r="J67" s="36">
        <v>0.2</v>
      </c>
      <c r="K67" s="37">
        <v>29.3</v>
      </c>
      <c r="L67" s="37">
        <v>1012</v>
      </c>
      <c r="M67" s="38">
        <v>1.2350000000000001</v>
      </c>
      <c r="N67" s="39">
        <v>1.3529</v>
      </c>
      <c r="O67" s="38">
        <f t="shared" si="0"/>
        <v>2.4562499999999976</v>
      </c>
      <c r="P67" s="40">
        <f t="shared" ref="P67:P120" si="9">(O67*L67*298)/(1013.25*(K67+273))</f>
        <v>2.418324550026405</v>
      </c>
      <c r="Q67" s="39">
        <v>0.33800000000000002</v>
      </c>
      <c r="R67" s="41">
        <f>(Q67*H67)/(I67*J67*10^-3)</f>
        <v>7.041666666666667</v>
      </c>
      <c r="S67" s="42">
        <f t="shared" si="3"/>
        <v>6.932940609914553</v>
      </c>
      <c r="T67" s="39">
        <v>6.5699999999999995E-2</v>
      </c>
      <c r="U67" s="41">
        <f t="shared" si="4"/>
        <v>1.3687499999999999</v>
      </c>
      <c r="V67" s="42">
        <f t="shared" si="5"/>
        <v>1.3476159706254023</v>
      </c>
      <c r="W67" s="43">
        <v>0.2072</v>
      </c>
      <c r="X67" s="41">
        <v>4.3166666666666664</v>
      </c>
      <c r="Y67" s="42">
        <f t="shared" si="6"/>
        <v>4.2500156638292754</v>
      </c>
      <c r="Z67" s="39">
        <v>9.2999999999999999E-2</v>
      </c>
      <c r="AA67" s="41">
        <f t="shared" si="8"/>
        <v>1.9375</v>
      </c>
      <c r="AB67" s="42">
        <f t="shared" si="7"/>
        <v>1.9075842506569625</v>
      </c>
    </row>
    <row r="68" spans="1:28" s="43" customFormat="1" ht="19.75" customHeight="1" x14ac:dyDescent="0.35">
      <c r="A68" s="37">
        <v>2</v>
      </c>
      <c r="B68" s="35" t="s">
        <v>277</v>
      </c>
      <c r="C68" s="36" t="s">
        <v>224</v>
      </c>
      <c r="D68" s="55" t="s">
        <v>279</v>
      </c>
      <c r="E68" s="55" t="s">
        <v>281</v>
      </c>
      <c r="F68" s="36"/>
      <c r="G68" s="36"/>
      <c r="H68" s="36">
        <v>1</v>
      </c>
      <c r="I68" s="36">
        <v>240</v>
      </c>
      <c r="J68" s="36">
        <v>0.2</v>
      </c>
      <c r="K68" s="37">
        <v>34.6</v>
      </c>
      <c r="L68" s="37">
        <v>1007</v>
      </c>
      <c r="M68" s="38">
        <v>1.2350000000000001</v>
      </c>
      <c r="N68" s="39">
        <v>1.4052</v>
      </c>
      <c r="O68" s="38">
        <f t="shared" si="0"/>
        <v>3.5458333333333312</v>
      </c>
      <c r="P68" s="40">
        <f t="shared" si="9"/>
        <v>3.4139810760565097</v>
      </c>
      <c r="Q68" s="39">
        <v>0.40289999999999992</v>
      </c>
      <c r="R68" s="41">
        <f t="shared" si="2"/>
        <v>8.3937499999999989</v>
      </c>
      <c r="S68" s="42">
        <f t="shared" si="3"/>
        <v>8.0816273533676171</v>
      </c>
      <c r="T68" s="39">
        <v>9.1999999999999998E-2</v>
      </c>
      <c r="U68" s="41">
        <f>(T68*H68)/(I68*J68*10^-3)</f>
        <v>1.9166666666666665</v>
      </c>
      <c r="V68" s="42">
        <f t="shared" ref="V68:V120" si="10">(U68*L68*298)/(1013.25*(K68+273))</f>
        <v>1.8453951762467631</v>
      </c>
      <c r="W68" s="43">
        <v>0.1903</v>
      </c>
      <c r="X68" s="41">
        <v>3.9645833333333331</v>
      </c>
      <c r="Y68" s="42">
        <f t="shared" ref="Y68:Y120" si="11">(X68*L68*298)/(1013.25*(K68+273))</f>
        <v>3.8171598047799895</v>
      </c>
      <c r="Z68" s="39">
        <v>0.1275</v>
      </c>
      <c r="AA68" s="41">
        <f t="shared" si="8"/>
        <v>2.65625</v>
      </c>
      <c r="AB68" s="42">
        <f t="shared" ref="AB68:AB120" si="12">(AA68*L68*298)/(1013.25*(K68+273))</f>
        <v>2.5574770105593729</v>
      </c>
    </row>
    <row r="69" spans="1:28" s="43" customFormat="1" ht="19.75" customHeight="1" x14ac:dyDescent="0.35">
      <c r="A69" s="37">
        <v>3</v>
      </c>
      <c r="B69" s="35" t="s">
        <v>277</v>
      </c>
      <c r="C69" s="36" t="s">
        <v>225</v>
      </c>
      <c r="D69" s="55" t="s">
        <v>279</v>
      </c>
      <c r="E69" s="55" t="s">
        <v>282</v>
      </c>
      <c r="F69" s="36"/>
      <c r="G69" s="36"/>
      <c r="H69" s="36">
        <v>1</v>
      </c>
      <c r="I69" s="36">
        <v>240</v>
      </c>
      <c r="J69" s="36">
        <v>0.2</v>
      </c>
      <c r="K69" s="37">
        <v>31.3</v>
      </c>
      <c r="L69" s="37">
        <v>1010</v>
      </c>
      <c r="M69" s="38">
        <v>1.2350000000000001</v>
      </c>
      <c r="N69" s="39">
        <v>1.3674999999999999</v>
      </c>
      <c r="O69" s="38">
        <f t="shared" ref="O69:O120" si="13">((N69-M69)*H69)/(I69*J69*10^-3)</f>
        <v>2.7604166666666634</v>
      </c>
      <c r="P69" s="40">
        <f t="shared" si="9"/>
        <v>2.6945963302486944</v>
      </c>
      <c r="Q69" s="39">
        <v>0.4007</v>
      </c>
      <c r="R69" s="41">
        <f t="shared" ref="R69:R120" si="14">(Q69*H69)/(I69*J69*10^-3)</f>
        <v>8.3479166666666664</v>
      </c>
      <c r="S69" s="42">
        <f t="shared" ref="S69:S120" si="15">(R69*L69*298)/(1013.25*(K69+273))</f>
        <v>8.1488660341936097</v>
      </c>
      <c r="T69" s="39">
        <v>0.1095</v>
      </c>
      <c r="U69" s="41">
        <f t="shared" ref="U69:U120" si="16">(T69*H69)/(I69*J69*10^-3)</f>
        <v>2.28125</v>
      </c>
      <c r="V69" s="42">
        <f t="shared" si="10"/>
        <v>2.2268550804696785</v>
      </c>
      <c r="W69" s="43">
        <v>0.24529999999999999</v>
      </c>
      <c r="X69" s="41">
        <v>5.1104166666666666</v>
      </c>
      <c r="Y69" s="42">
        <f t="shared" si="11"/>
        <v>4.9885621117736267</v>
      </c>
      <c r="Z69" s="39">
        <v>9.1999999999999998E-2</v>
      </c>
      <c r="AA69" s="41">
        <f t="shared" ref="AA69:AA120" si="17">(Z69*H69)/(I69*J69*10^-3)</f>
        <v>1.9166666666666665</v>
      </c>
      <c r="AB69" s="42">
        <f t="shared" si="12"/>
        <v>1.8709649991160768</v>
      </c>
    </row>
    <row r="70" spans="1:28" s="43" customFormat="1" ht="19.75" customHeight="1" x14ac:dyDescent="0.35">
      <c r="A70" s="37">
        <v>4</v>
      </c>
      <c r="B70" s="35" t="s">
        <v>277</v>
      </c>
      <c r="C70" s="36" t="s">
        <v>226</v>
      </c>
      <c r="D70" s="55" t="s">
        <v>283</v>
      </c>
      <c r="E70" s="55" t="s">
        <v>280</v>
      </c>
      <c r="F70" s="36"/>
      <c r="G70" s="36"/>
      <c r="H70" s="36">
        <v>1</v>
      </c>
      <c r="I70" s="36">
        <v>240</v>
      </c>
      <c r="J70" s="36">
        <v>0.2</v>
      </c>
      <c r="K70" s="37">
        <v>29.3</v>
      </c>
      <c r="L70" s="37">
        <v>1012</v>
      </c>
      <c r="M70" s="38">
        <v>1.2350000000000001</v>
      </c>
      <c r="N70" s="39">
        <v>1.8488</v>
      </c>
      <c r="O70" s="38">
        <f t="shared" si="13"/>
        <v>12.787499999999998</v>
      </c>
      <c r="P70" s="40">
        <f t="shared" si="9"/>
        <v>12.59005605433595</v>
      </c>
      <c r="Q70" s="39">
        <v>2.0104000000000002</v>
      </c>
      <c r="R70" s="41">
        <f t="shared" si="14"/>
        <v>41.883333333333333</v>
      </c>
      <c r="S70" s="42">
        <f t="shared" si="15"/>
        <v>41.236638467965129</v>
      </c>
      <c r="T70" s="39">
        <v>0.67589999999999995</v>
      </c>
      <c r="U70" s="41">
        <f t="shared" si="16"/>
        <v>14.081249999999999</v>
      </c>
      <c r="V70" s="42">
        <f t="shared" si="10"/>
        <v>13.863830053968181</v>
      </c>
      <c r="W70" s="43">
        <v>1.1446000000000001</v>
      </c>
      <c r="X70" s="41">
        <v>23.845833333333335</v>
      </c>
      <c r="Y70" s="42">
        <f t="shared" si="11"/>
        <v>23.477644444107089</v>
      </c>
      <c r="Z70" s="39">
        <v>0.89159999999999995</v>
      </c>
      <c r="AA70" s="41">
        <f t="shared" si="17"/>
        <v>18.574999999999999</v>
      </c>
      <c r="AB70" s="42">
        <f t="shared" si="12"/>
        <v>18.288194815975778</v>
      </c>
    </row>
    <row r="71" spans="1:28" s="43" customFormat="1" ht="19.75" customHeight="1" x14ac:dyDescent="0.35">
      <c r="A71" s="37">
        <v>5</v>
      </c>
      <c r="B71" s="35" t="s">
        <v>277</v>
      </c>
      <c r="C71" s="36" t="s">
        <v>227</v>
      </c>
      <c r="D71" s="55" t="s">
        <v>283</v>
      </c>
      <c r="E71" s="55" t="s">
        <v>281</v>
      </c>
      <c r="F71" s="36"/>
      <c r="G71" s="36"/>
      <c r="H71" s="36">
        <v>1</v>
      </c>
      <c r="I71" s="36">
        <v>240</v>
      </c>
      <c r="J71" s="36">
        <v>0.2</v>
      </c>
      <c r="K71" s="37">
        <v>34.6</v>
      </c>
      <c r="L71" s="37">
        <v>1007</v>
      </c>
      <c r="M71" s="38">
        <v>1.2350000000000001</v>
      </c>
      <c r="N71" s="39">
        <v>2.5893999999999999</v>
      </c>
      <c r="O71" s="38">
        <f t="shared" si="13"/>
        <v>28.216666666666661</v>
      </c>
      <c r="P71" s="40">
        <f t="shared" si="9"/>
        <v>27.16742637726756</v>
      </c>
      <c r="Q71" s="39">
        <v>2.6778</v>
      </c>
      <c r="R71" s="41">
        <f t="shared" si="14"/>
        <v>55.787500000000001</v>
      </c>
      <c r="S71" s="42">
        <f t="shared" si="15"/>
        <v>53.713034814712863</v>
      </c>
      <c r="T71" s="39">
        <v>1.0105</v>
      </c>
      <c r="U71" s="41">
        <f t="shared" si="16"/>
        <v>21.052083333333332</v>
      </c>
      <c r="V71" s="42">
        <f t="shared" si="10"/>
        <v>20.269258973884284</v>
      </c>
      <c r="W71" s="43">
        <v>1.8034399999999999</v>
      </c>
      <c r="X71" s="41">
        <v>37.571666666666665</v>
      </c>
      <c r="Y71" s="42">
        <f t="shared" si="11"/>
        <v>36.174559528809382</v>
      </c>
      <c r="Z71" s="39">
        <v>1.1722999999999999</v>
      </c>
      <c r="AA71" s="41">
        <f t="shared" si="17"/>
        <v>24.422916666666666</v>
      </c>
      <c r="AB71" s="42">
        <f t="shared" si="12"/>
        <v>23.51474744689218</v>
      </c>
    </row>
    <row r="72" spans="1:28" s="43" customFormat="1" ht="19.75" customHeight="1" x14ac:dyDescent="0.35">
      <c r="A72" s="37">
        <v>6</v>
      </c>
      <c r="B72" s="35" t="s">
        <v>277</v>
      </c>
      <c r="C72" s="36" t="s">
        <v>228</v>
      </c>
      <c r="D72" s="55" t="s">
        <v>283</v>
      </c>
      <c r="E72" s="55" t="s">
        <v>282</v>
      </c>
      <c r="F72" s="36"/>
      <c r="G72" s="36"/>
      <c r="H72" s="36">
        <v>1</v>
      </c>
      <c r="I72" s="36">
        <v>240</v>
      </c>
      <c r="J72" s="36">
        <v>0.2</v>
      </c>
      <c r="K72" s="37">
        <v>31.3</v>
      </c>
      <c r="L72" s="37">
        <v>1010</v>
      </c>
      <c r="M72" s="38">
        <v>1.2350000000000001</v>
      </c>
      <c r="N72" s="39">
        <v>2.2022999999999997</v>
      </c>
      <c r="O72" s="38">
        <f t="shared" si="13"/>
        <v>20.152083333333323</v>
      </c>
      <c r="P72" s="40">
        <f t="shared" si="9"/>
        <v>19.671570039619354</v>
      </c>
      <c r="Q72" s="39">
        <v>2.3925000000000001</v>
      </c>
      <c r="R72" s="41">
        <f t="shared" si="14"/>
        <v>49.84375</v>
      </c>
      <c r="S72" s="42">
        <f t="shared" si="15"/>
        <v>48.655258265056673</v>
      </c>
      <c r="T72" s="39">
        <v>1.0083</v>
      </c>
      <c r="U72" s="41">
        <f t="shared" si="16"/>
        <v>21.006249999999998</v>
      </c>
      <c r="V72" s="42">
        <f t="shared" si="10"/>
        <v>20.505369658790652</v>
      </c>
      <c r="W72" s="43">
        <v>1.5386</v>
      </c>
      <c r="X72" s="41">
        <v>32.054166666666667</v>
      </c>
      <c r="Y72" s="42">
        <f t="shared" si="11"/>
        <v>31.289855952608647</v>
      </c>
      <c r="Z72" s="39">
        <v>1.1113999999999999</v>
      </c>
      <c r="AA72" s="41">
        <f t="shared" si="17"/>
        <v>23.154166666666665</v>
      </c>
      <c r="AB72" s="42">
        <f t="shared" si="12"/>
        <v>22.602070652365303</v>
      </c>
    </row>
    <row r="73" spans="1:28" s="43" customFormat="1" ht="19.75" customHeight="1" x14ac:dyDescent="0.35">
      <c r="A73" s="37">
        <v>7</v>
      </c>
      <c r="B73" s="35" t="s">
        <v>277</v>
      </c>
      <c r="C73" s="36" t="s">
        <v>229</v>
      </c>
      <c r="D73" s="55" t="s">
        <v>284</v>
      </c>
      <c r="E73" s="55" t="s">
        <v>280</v>
      </c>
      <c r="F73" s="36"/>
      <c r="G73" s="36"/>
      <c r="H73" s="36">
        <v>1</v>
      </c>
      <c r="I73" s="36">
        <v>240</v>
      </c>
      <c r="J73" s="36">
        <v>0.2</v>
      </c>
      <c r="K73" s="37">
        <v>29.3</v>
      </c>
      <c r="L73" s="37">
        <v>1012</v>
      </c>
      <c r="M73" s="38">
        <v>1.2350000000000001</v>
      </c>
      <c r="N73" s="39">
        <v>2.6772999999999998</v>
      </c>
      <c r="O73" s="38">
        <f t="shared" si="13"/>
        <v>30.047916666666659</v>
      </c>
      <c r="P73" s="40">
        <f t="shared" si="9"/>
        <v>29.583965212070279</v>
      </c>
      <c r="Q73" s="39">
        <v>3.198</v>
      </c>
      <c r="R73" s="41">
        <f t="shared" si="14"/>
        <v>66.625</v>
      </c>
      <c r="S73" s="42">
        <f t="shared" si="15"/>
        <v>65.596284232268445</v>
      </c>
      <c r="T73" s="39">
        <v>1.6339999999999999</v>
      </c>
      <c r="U73" s="41">
        <f t="shared" si="16"/>
        <v>34.041666666666664</v>
      </c>
      <c r="V73" s="42">
        <f t="shared" si="10"/>
        <v>33.516050167456733</v>
      </c>
      <c r="W73" s="43">
        <v>1.92028</v>
      </c>
      <c r="X73" s="41">
        <v>40.005833333333335</v>
      </c>
      <c r="Y73" s="42">
        <f t="shared" si="11"/>
        <v>39.388127794102708</v>
      </c>
      <c r="Z73" s="39">
        <v>0.96399999999999997</v>
      </c>
      <c r="AA73" s="41">
        <f t="shared" si="17"/>
        <v>20.083333333333332</v>
      </c>
      <c r="AB73" s="42">
        <f t="shared" si="12"/>
        <v>19.773238899282923</v>
      </c>
    </row>
    <row r="74" spans="1:28" s="43" customFormat="1" ht="19.75" customHeight="1" x14ac:dyDescent="0.35">
      <c r="A74" s="37">
        <v>8</v>
      </c>
      <c r="B74" s="35" t="s">
        <v>277</v>
      </c>
      <c r="C74" s="36" t="s">
        <v>230</v>
      </c>
      <c r="D74" s="55" t="s">
        <v>284</v>
      </c>
      <c r="E74" s="55" t="s">
        <v>281</v>
      </c>
      <c r="F74" s="36"/>
      <c r="G74" s="36"/>
      <c r="H74" s="36">
        <v>1</v>
      </c>
      <c r="I74" s="36">
        <v>240</v>
      </c>
      <c r="J74" s="36">
        <v>0.2</v>
      </c>
      <c r="K74" s="37">
        <v>34.6</v>
      </c>
      <c r="L74" s="37">
        <v>1007</v>
      </c>
      <c r="M74" s="38">
        <v>1.2350000000000001</v>
      </c>
      <c r="N74" s="39">
        <v>2.6509999999999998</v>
      </c>
      <c r="O74" s="38">
        <f t="shared" si="13"/>
        <v>29.499999999999993</v>
      </c>
      <c r="P74" s="40">
        <f t="shared" si="9"/>
        <v>28.403038799624088</v>
      </c>
      <c r="Q74" s="39">
        <v>3.1811999999999996</v>
      </c>
      <c r="R74" s="41">
        <f t="shared" si="14"/>
        <v>66.274999999999991</v>
      </c>
      <c r="S74" s="42">
        <f t="shared" si="15"/>
        <v>63.810555811697846</v>
      </c>
      <c r="T74" s="39">
        <v>1.2508999999999999</v>
      </c>
      <c r="U74" s="41">
        <f t="shared" si="16"/>
        <v>26.060416666666665</v>
      </c>
      <c r="V74" s="42">
        <f t="shared" si="10"/>
        <v>25.091356803989957</v>
      </c>
      <c r="W74" s="43">
        <v>2.2765599999999999</v>
      </c>
      <c r="X74" s="41">
        <v>47.428333333333327</v>
      </c>
      <c r="Y74" s="42">
        <f t="shared" si="11"/>
        <v>45.664704809090551</v>
      </c>
      <c r="Z74" s="39">
        <v>1.2041999999999999</v>
      </c>
      <c r="AA74" s="41">
        <f t="shared" si="17"/>
        <v>25.087499999999999</v>
      </c>
      <c r="AB74" s="42">
        <f t="shared" si="12"/>
        <v>24.154618165612522</v>
      </c>
    </row>
    <row r="75" spans="1:28" s="43" customFormat="1" ht="19.75" customHeight="1" x14ac:dyDescent="0.35">
      <c r="A75" s="37">
        <v>9</v>
      </c>
      <c r="B75" s="35" t="s">
        <v>277</v>
      </c>
      <c r="C75" s="36" t="s">
        <v>231</v>
      </c>
      <c r="D75" s="55" t="s">
        <v>284</v>
      </c>
      <c r="E75" s="55" t="s">
        <v>282</v>
      </c>
      <c r="F75" s="36"/>
      <c r="G75" s="36"/>
      <c r="H75" s="36">
        <v>1</v>
      </c>
      <c r="I75" s="36">
        <v>240</v>
      </c>
      <c r="J75" s="36">
        <v>0.2</v>
      </c>
      <c r="K75" s="37">
        <v>31.3</v>
      </c>
      <c r="L75" s="37">
        <v>1010</v>
      </c>
      <c r="M75" s="38">
        <v>1.2350000000000001</v>
      </c>
      <c r="N75" s="39">
        <v>2.5876000000000001</v>
      </c>
      <c r="O75" s="38">
        <f t="shared" si="13"/>
        <v>28.179166666666667</v>
      </c>
      <c r="P75" s="40">
        <f t="shared" si="9"/>
        <v>27.507252802221796</v>
      </c>
      <c r="Q75" s="39">
        <v>3.1814</v>
      </c>
      <c r="R75" s="41">
        <f t="shared" si="14"/>
        <v>66.279166666666669</v>
      </c>
      <c r="S75" s="42">
        <f t="shared" si="15"/>
        <v>64.698783132477033</v>
      </c>
      <c r="T75" s="39">
        <v>1.4351</v>
      </c>
      <c r="U75" s="41">
        <f t="shared" si="16"/>
        <v>29.897916666666667</v>
      </c>
      <c r="V75" s="42">
        <f t="shared" si="10"/>
        <v>29.185020328603063</v>
      </c>
      <c r="W75" s="43">
        <v>1.9167000000000001</v>
      </c>
      <c r="X75" s="41">
        <v>39.931249999999999</v>
      </c>
      <c r="Y75" s="42">
        <f t="shared" si="11"/>
        <v>38.979115367454185</v>
      </c>
      <c r="Z75" s="39">
        <v>0.84204000000000001</v>
      </c>
      <c r="AA75" s="41">
        <f t="shared" si="17"/>
        <v>17.5425</v>
      </c>
      <c r="AB75" s="42">
        <f t="shared" si="12"/>
        <v>17.124210520170667</v>
      </c>
    </row>
    <row r="76" spans="1:28" s="43" customFormat="1" ht="19.75" customHeight="1" x14ac:dyDescent="0.35">
      <c r="A76" s="37">
        <v>10</v>
      </c>
      <c r="B76" s="35" t="s">
        <v>277</v>
      </c>
      <c r="C76" s="36" t="s">
        <v>232</v>
      </c>
      <c r="D76" s="55" t="s">
        <v>279</v>
      </c>
      <c r="E76" s="55" t="s">
        <v>280</v>
      </c>
      <c r="F76" s="36"/>
      <c r="G76" s="36"/>
      <c r="H76" s="36">
        <v>1</v>
      </c>
      <c r="I76" s="36">
        <v>240</v>
      </c>
      <c r="J76" s="36">
        <v>0.2</v>
      </c>
      <c r="K76" s="37">
        <v>29.7</v>
      </c>
      <c r="L76" s="37">
        <v>1012</v>
      </c>
      <c r="M76" s="38">
        <v>1.2350000000000001</v>
      </c>
      <c r="N76" s="39">
        <v>1.32115</v>
      </c>
      <c r="O76" s="38">
        <f t="shared" si="13"/>
        <v>1.7947916666666655</v>
      </c>
      <c r="P76" s="40">
        <f t="shared" si="9"/>
        <v>1.7647442991419731</v>
      </c>
      <c r="Q76" s="39">
        <v>0.1525</v>
      </c>
      <c r="R76" s="41">
        <f t="shared" si="14"/>
        <v>3.177083333333333</v>
      </c>
      <c r="S76" s="42">
        <f t="shared" si="15"/>
        <v>3.1238944355095883</v>
      </c>
      <c r="T76" s="39">
        <v>6.3E-2</v>
      </c>
      <c r="U76" s="41">
        <f t="shared" si="16"/>
        <v>1.3125</v>
      </c>
      <c r="V76" s="42">
        <f t="shared" si="10"/>
        <v>1.2905268815547808</v>
      </c>
      <c r="W76" s="43">
        <v>0.10314</v>
      </c>
      <c r="X76" s="41">
        <v>2.1487499999999997</v>
      </c>
      <c r="Y76" s="42">
        <f t="shared" si="11"/>
        <v>2.1127768660882555</v>
      </c>
      <c r="Z76" s="39">
        <v>9.4E-2</v>
      </c>
      <c r="AA76" s="41">
        <f t="shared" si="17"/>
        <v>1.9583333333333333</v>
      </c>
      <c r="AB76" s="42">
        <f t="shared" si="12"/>
        <v>1.9255480454944347</v>
      </c>
    </row>
    <row r="77" spans="1:28" s="43" customFormat="1" ht="19.75" customHeight="1" x14ac:dyDescent="0.35">
      <c r="A77" s="37">
        <v>11</v>
      </c>
      <c r="B77" s="35" t="s">
        <v>277</v>
      </c>
      <c r="C77" s="36" t="s">
        <v>233</v>
      </c>
      <c r="D77" s="55" t="s">
        <v>279</v>
      </c>
      <c r="E77" s="55" t="s">
        <v>281</v>
      </c>
      <c r="F77" s="36"/>
      <c r="G77" s="36"/>
      <c r="H77" s="36">
        <v>1</v>
      </c>
      <c r="I77" s="36">
        <v>240</v>
      </c>
      <c r="J77" s="36">
        <v>0.2</v>
      </c>
      <c r="K77" s="37">
        <v>38.200000000000003</v>
      </c>
      <c r="L77" s="37">
        <v>1004</v>
      </c>
      <c r="M77" s="38">
        <v>1.2350000000000001</v>
      </c>
      <c r="N77" s="39">
        <v>1.4049</v>
      </c>
      <c r="O77" s="38">
        <f t="shared" si="13"/>
        <v>3.539583333333332</v>
      </c>
      <c r="P77" s="40">
        <f t="shared" si="9"/>
        <v>3.35850436937654</v>
      </c>
      <c r="Q77" s="39">
        <v>0.47</v>
      </c>
      <c r="R77" s="41">
        <f t="shared" si="14"/>
        <v>9.7916666666666661</v>
      </c>
      <c r="S77" s="42">
        <f t="shared" si="15"/>
        <v>9.2907419282341035</v>
      </c>
      <c r="T77" s="39">
        <v>9.7000000000000003E-2</v>
      </c>
      <c r="U77" s="41">
        <f t="shared" si="16"/>
        <v>2.0208333333333335</v>
      </c>
      <c r="V77" s="42">
        <f t="shared" si="10"/>
        <v>1.9174509936993791</v>
      </c>
      <c r="W77" s="43">
        <v>0.23118</v>
      </c>
      <c r="X77" s="41">
        <v>4.8162500000000001</v>
      </c>
      <c r="Y77" s="42">
        <f t="shared" si="11"/>
        <v>4.5698589765301287</v>
      </c>
      <c r="Z77" s="39">
        <v>0.1203</v>
      </c>
      <c r="AA77" s="41">
        <f t="shared" si="17"/>
        <v>2.5062500000000001</v>
      </c>
      <c r="AB77" s="42">
        <f t="shared" si="12"/>
        <v>2.3780345829075804</v>
      </c>
    </row>
    <row r="78" spans="1:28" s="43" customFormat="1" ht="19.75" customHeight="1" x14ac:dyDescent="0.35">
      <c r="A78" s="37">
        <v>12</v>
      </c>
      <c r="B78" s="35" t="s">
        <v>277</v>
      </c>
      <c r="C78" s="36" t="s">
        <v>234</v>
      </c>
      <c r="D78" s="55" t="s">
        <v>279</v>
      </c>
      <c r="E78" s="55" t="s">
        <v>282</v>
      </c>
      <c r="F78" s="36"/>
      <c r="G78" s="36"/>
      <c r="H78" s="36">
        <v>1</v>
      </c>
      <c r="I78" s="36">
        <v>240</v>
      </c>
      <c r="J78" s="36">
        <v>0.2</v>
      </c>
      <c r="K78" s="37">
        <v>33.4</v>
      </c>
      <c r="L78" s="37">
        <v>1008</v>
      </c>
      <c r="M78" s="38">
        <v>1.2350000000000001</v>
      </c>
      <c r="N78" s="39">
        <v>1.4490000000000001</v>
      </c>
      <c r="O78" s="38">
        <f t="shared" si="13"/>
        <v>4.4583333333333321</v>
      </c>
      <c r="P78" s="40">
        <f t="shared" si="9"/>
        <v>4.3136406066099378</v>
      </c>
      <c r="Q78" s="39">
        <v>0.21890000000000001</v>
      </c>
      <c r="R78" s="41">
        <f t="shared" si="14"/>
        <v>4.5604166666666668</v>
      </c>
      <c r="S78" s="42">
        <f t="shared" si="15"/>
        <v>4.4124108821818488</v>
      </c>
      <c r="T78" s="39">
        <v>8.2100000000000006E-2</v>
      </c>
      <c r="U78" s="41">
        <f t="shared" si="16"/>
        <v>1.7104166666666667</v>
      </c>
      <c r="V78" s="42">
        <f t="shared" si="10"/>
        <v>1.6549060458068969</v>
      </c>
      <c r="W78" s="43">
        <v>0.19123999999999999</v>
      </c>
      <c r="X78" s="41">
        <v>3.9841666666666664</v>
      </c>
      <c r="Y78" s="42">
        <f t="shared" si="11"/>
        <v>3.8548627551779648</v>
      </c>
      <c r="Z78" s="39">
        <v>0.1229</v>
      </c>
      <c r="AA78" s="41">
        <f t="shared" si="17"/>
        <v>2.5604166666666663</v>
      </c>
      <c r="AB78" s="42">
        <f t="shared" si="12"/>
        <v>2.4773197689362676</v>
      </c>
    </row>
    <row r="79" spans="1:28" ht="19.75" customHeight="1" x14ac:dyDescent="0.35">
      <c r="A79" s="37">
        <v>13</v>
      </c>
      <c r="B79" s="35" t="s">
        <v>277</v>
      </c>
      <c r="C79" s="36" t="s">
        <v>235</v>
      </c>
      <c r="D79" s="55" t="s">
        <v>283</v>
      </c>
      <c r="E79" s="55" t="s">
        <v>280</v>
      </c>
      <c r="F79" s="57" t="s">
        <v>110</v>
      </c>
      <c r="G79" s="36" t="s">
        <v>111</v>
      </c>
      <c r="H79" s="36">
        <v>1</v>
      </c>
      <c r="I79" s="36">
        <v>240</v>
      </c>
      <c r="J79" s="36">
        <v>0.2</v>
      </c>
      <c r="K79" s="37">
        <v>29.7</v>
      </c>
      <c r="L79" s="37">
        <v>1012</v>
      </c>
      <c r="M79" s="38">
        <v>1.2350000000000001</v>
      </c>
      <c r="N79" s="39">
        <v>1.9623000000000002</v>
      </c>
      <c r="O79" s="38">
        <f t="shared" si="13"/>
        <v>15.152083333333334</v>
      </c>
      <c r="P79" s="40">
        <f t="shared" si="9"/>
        <v>14.898415888171304</v>
      </c>
      <c r="Q79" s="39">
        <v>1.9377</v>
      </c>
      <c r="R79" s="41">
        <f t="shared" si="14"/>
        <v>40.368749999999999</v>
      </c>
      <c r="S79" s="42">
        <f t="shared" si="15"/>
        <v>39.692919656963468</v>
      </c>
      <c r="T79" s="39">
        <v>0.67659999999999998</v>
      </c>
      <c r="U79" s="41">
        <f t="shared" si="16"/>
        <v>14.095833333333333</v>
      </c>
      <c r="V79" s="42">
        <f t="shared" si="10"/>
        <v>13.859849016824837</v>
      </c>
      <c r="W79" s="43">
        <v>1.33904</v>
      </c>
      <c r="X79" s="41">
        <v>27.896666666666665</v>
      </c>
      <c r="Y79" s="42">
        <f t="shared" si="11"/>
        <v>27.429636753604981</v>
      </c>
      <c r="Z79" s="39">
        <v>0.75329999999999997</v>
      </c>
      <c r="AA79" s="41">
        <f t="shared" si="17"/>
        <v>15.69375</v>
      </c>
      <c r="AB79" s="42">
        <f t="shared" si="12"/>
        <v>15.431014283733592</v>
      </c>
    </row>
    <row r="80" spans="1:28" ht="19.75" customHeight="1" x14ac:dyDescent="0.35">
      <c r="A80" s="37">
        <v>14</v>
      </c>
      <c r="B80" s="35" t="s">
        <v>277</v>
      </c>
      <c r="C80" s="36" t="s">
        <v>236</v>
      </c>
      <c r="D80" s="55" t="s">
        <v>283</v>
      </c>
      <c r="E80" s="55" t="s">
        <v>281</v>
      </c>
      <c r="F80" s="58"/>
      <c r="G80" s="36" t="s">
        <v>112</v>
      </c>
      <c r="H80" s="36">
        <v>1</v>
      </c>
      <c r="I80" s="36">
        <v>240</v>
      </c>
      <c r="J80" s="36">
        <v>0.2</v>
      </c>
      <c r="K80" s="37">
        <v>38.200000000000003</v>
      </c>
      <c r="L80" s="37">
        <v>1004</v>
      </c>
      <c r="M80" s="38">
        <v>1.2350000000000001</v>
      </c>
      <c r="N80" s="39">
        <v>2.5630999999999999</v>
      </c>
      <c r="O80" s="38">
        <f t="shared" si="13"/>
        <v>27.668749999999996</v>
      </c>
      <c r="P80" s="40">
        <f t="shared" si="9"/>
        <v>26.25326458486747</v>
      </c>
      <c r="Q80" s="39">
        <v>2.7201</v>
      </c>
      <c r="R80" s="41">
        <f t="shared" si="14"/>
        <v>56.668749999999996</v>
      </c>
      <c r="S80" s="42">
        <f t="shared" si="15"/>
        <v>53.769674721254432</v>
      </c>
      <c r="T80" s="39">
        <v>1.2082999999999999</v>
      </c>
      <c r="U80" s="41">
        <f t="shared" si="16"/>
        <v>25.172916666666666</v>
      </c>
      <c r="V80" s="42">
        <f t="shared" si="10"/>
        <v>23.885113769968655</v>
      </c>
      <c r="W80" s="43">
        <v>2.2474599999999998</v>
      </c>
      <c r="X80" s="41">
        <v>46.822083333333325</v>
      </c>
      <c r="Y80" s="42">
        <f t="shared" si="11"/>
        <v>44.426746497934076</v>
      </c>
      <c r="Z80" s="39">
        <v>1.4293</v>
      </c>
      <c r="AA80" s="41">
        <f t="shared" si="17"/>
        <v>29.777083333333334</v>
      </c>
      <c r="AB80" s="42">
        <f t="shared" si="12"/>
        <v>28.253739229840438</v>
      </c>
    </row>
    <row r="81" spans="1:28" ht="19.75" customHeight="1" x14ac:dyDescent="0.35">
      <c r="A81" s="37">
        <v>15</v>
      </c>
      <c r="B81" s="35" t="s">
        <v>277</v>
      </c>
      <c r="C81" s="36" t="s">
        <v>237</v>
      </c>
      <c r="D81" s="55" t="s">
        <v>283</v>
      </c>
      <c r="E81" s="55" t="s">
        <v>282</v>
      </c>
      <c r="F81" s="58"/>
      <c r="G81" s="36" t="s">
        <v>113</v>
      </c>
      <c r="H81" s="36">
        <v>1</v>
      </c>
      <c r="I81" s="36">
        <v>240</v>
      </c>
      <c r="J81" s="36">
        <v>0.2</v>
      </c>
      <c r="K81" s="37">
        <v>33.4</v>
      </c>
      <c r="L81" s="37">
        <v>1008</v>
      </c>
      <c r="M81" s="38">
        <v>1.2350000000000001</v>
      </c>
      <c r="N81" s="39">
        <v>2.8432999999999997</v>
      </c>
      <c r="O81" s="38">
        <f t="shared" si="13"/>
        <v>33.506249999999994</v>
      </c>
      <c r="P81" s="40">
        <f t="shared" si="9"/>
        <v>32.418823306592344</v>
      </c>
      <c r="Q81" s="39">
        <v>2.3466</v>
      </c>
      <c r="R81" s="41">
        <f t="shared" si="14"/>
        <v>48.887500000000003</v>
      </c>
      <c r="S81" s="42">
        <f t="shared" si="15"/>
        <v>47.300883399396646</v>
      </c>
      <c r="T81" s="39">
        <v>1.0371999999999999</v>
      </c>
      <c r="U81" s="41">
        <f t="shared" si="16"/>
        <v>21.608333333333331</v>
      </c>
      <c r="V81" s="42">
        <f t="shared" si="10"/>
        <v>20.90704690269078</v>
      </c>
      <c r="W81" s="43">
        <v>2.1952400000000001</v>
      </c>
      <c r="X81" s="41">
        <v>45.734166666666667</v>
      </c>
      <c r="Y81" s="42">
        <f t="shared" si="11"/>
        <v>44.249889744179441</v>
      </c>
      <c r="Z81" s="39">
        <v>1.1085</v>
      </c>
      <c r="AA81" s="41">
        <f t="shared" si="17"/>
        <v>23.09375</v>
      </c>
      <c r="AB81" s="42">
        <f t="shared" si="12"/>
        <v>22.344255198257553</v>
      </c>
    </row>
    <row r="82" spans="1:28" ht="19.75" customHeight="1" x14ac:dyDescent="0.35">
      <c r="A82" s="37">
        <v>16</v>
      </c>
      <c r="B82" s="35" t="s">
        <v>277</v>
      </c>
      <c r="C82" s="36" t="s">
        <v>238</v>
      </c>
      <c r="D82" s="55" t="s">
        <v>284</v>
      </c>
      <c r="E82" s="55" t="s">
        <v>280</v>
      </c>
      <c r="F82" s="57" t="s">
        <v>114</v>
      </c>
      <c r="G82" s="36" t="s">
        <v>115</v>
      </c>
      <c r="H82" s="36">
        <v>1</v>
      </c>
      <c r="I82" s="36">
        <v>240</v>
      </c>
      <c r="J82" s="36">
        <v>0.2</v>
      </c>
      <c r="K82" s="37">
        <v>29.7</v>
      </c>
      <c r="L82" s="37">
        <v>1012</v>
      </c>
      <c r="M82" s="38">
        <v>1.2350000000000001</v>
      </c>
      <c r="N82" s="39">
        <v>2.1757999999999997</v>
      </c>
      <c r="O82" s="38">
        <f t="shared" si="13"/>
        <v>19.599999999999991</v>
      </c>
      <c r="P82" s="40">
        <f t="shared" si="9"/>
        <v>19.271868097884717</v>
      </c>
      <c r="Q82" s="39">
        <v>2.7563</v>
      </c>
      <c r="R82" s="41">
        <f t="shared" si="14"/>
        <v>57.422916666666666</v>
      </c>
      <c r="S82" s="42">
        <f t="shared" si="15"/>
        <v>56.461575295705437</v>
      </c>
      <c r="T82" s="39">
        <v>1.024</v>
      </c>
      <c r="U82" s="41">
        <f t="shared" si="16"/>
        <v>21.333333333333332</v>
      </c>
      <c r="V82" s="42">
        <f t="shared" si="10"/>
        <v>20.976182963684057</v>
      </c>
      <c r="W82" s="43">
        <v>1.7965040000000001</v>
      </c>
      <c r="X82" s="41">
        <v>37.427166666666665</v>
      </c>
      <c r="Y82" s="42">
        <f t="shared" si="11"/>
        <v>36.800582616201432</v>
      </c>
      <c r="Z82" s="39">
        <v>0.74953000000000003</v>
      </c>
      <c r="AA82" s="41">
        <f t="shared" si="17"/>
        <v>15.615208333333333</v>
      </c>
      <c r="AB82" s="42">
        <f t="shared" si="12"/>
        <v>15.353787516377063</v>
      </c>
    </row>
    <row r="83" spans="1:28" ht="19.75" customHeight="1" x14ac:dyDescent="0.35">
      <c r="A83" s="37">
        <v>17</v>
      </c>
      <c r="B83" s="35" t="s">
        <v>277</v>
      </c>
      <c r="C83" s="36" t="s">
        <v>239</v>
      </c>
      <c r="D83" s="55" t="s">
        <v>284</v>
      </c>
      <c r="E83" s="55" t="s">
        <v>281</v>
      </c>
      <c r="F83" s="58"/>
      <c r="G83" s="36" t="s">
        <v>116</v>
      </c>
      <c r="H83" s="36">
        <v>1</v>
      </c>
      <c r="I83" s="36">
        <v>240</v>
      </c>
      <c r="J83" s="36">
        <v>0.2</v>
      </c>
      <c r="K83" s="37">
        <v>38.200000000000003</v>
      </c>
      <c r="L83" s="37">
        <v>1004</v>
      </c>
      <c r="M83" s="38">
        <v>1.2350000000000001</v>
      </c>
      <c r="N83" s="39">
        <v>2.4429999999999996</v>
      </c>
      <c r="O83" s="38">
        <f t="shared" si="13"/>
        <v>25.166666666666657</v>
      </c>
      <c r="P83" s="40">
        <f t="shared" si="9"/>
        <v>23.879183509163393</v>
      </c>
      <c r="Q83" s="39">
        <v>2.4601009999999994</v>
      </c>
      <c r="R83" s="41">
        <f t="shared" si="14"/>
        <v>51.252104166666655</v>
      </c>
      <c r="S83" s="42">
        <f t="shared" si="15"/>
        <v>48.630135124235409</v>
      </c>
      <c r="T83" s="39">
        <v>1.3403</v>
      </c>
      <c r="U83" s="41">
        <f t="shared" si="16"/>
        <v>27.922916666666666</v>
      </c>
      <c r="V83" s="42">
        <f t="shared" si="10"/>
        <v>26.494428524281211</v>
      </c>
      <c r="W83" s="43">
        <v>2.1190600000000002</v>
      </c>
      <c r="X83" s="41">
        <v>44.147083333333335</v>
      </c>
      <c r="Y83" s="42">
        <f t="shared" si="11"/>
        <v>41.888594873284603</v>
      </c>
      <c r="Z83" s="39">
        <v>1.39242</v>
      </c>
      <c r="AA83" s="41">
        <f t="shared" si="17"/>
        <v>29.008749999999999</v>
      </c>
      <c r="AB83" s="42">
        <f t="shared" si="12"/>
        <v>27.524712501514319</v>
      </c>
    </row>
    <row r="84" spans="1:28" ht="15.5" x14ac:dyDescent="0.35">
      <c r="A84" s="37">
        <v>18</v>
      </c>
      <c r="B84" s="35" t="s">
        <v>277</v>
      </c>
      <c r="C84" s="36" t="s">
        <v>240</v>
      </c>
      <c r="D84" s="55" t="s">
        <v>284</v>
      </c>
      <c r="E84" s="55" t="s">
        <v>282</v>
      </c>
      <c r="F84" s="58"/>
      <c r="G84" s="36" t="s">
        <v>117</v>
      </c>
      <c r="H84" s="36">
        <v>1</v>
      </c>
      <c r="I84" s="36">
        <v>240</v>
      </c>
      <c r="J84" s="36">
        <v>0.2</v>
      </c>
      <c r="K84" s="37">
        <v>33.4</v>
      </c>
      <c r="L84" s="37">
        <v>1008</v>
      </c>
      <c r="M84" s="38">
        <v>1.2350000000000001</v>
      </c>
      <c r="N84" s="39">
        <v>2.4321000000000002</v>
      </c>
      <c r="O84" s="38">
        <f t="shared" si="13"/>
        <v>24.939583333333335</v>
      </c>
      <c r="P84" s="40">
        <f t="shared" si="9"/>
        <v>24.130183038190456</v>
      </c>
      <c r="Q84" s="39">
        <v>3.0675659</v>
      </c>
      <c r="R84" s="41">
        <f t="shared" si="14"/>
        <v>63.907622916666668</v>
      </c>
      <c r="S84" s="42">
        <f t="shared" si="15"/>
        <v>61.833536587345606</v>
      </c>
      <c r="T84" s="39">
        <v>1.2830999999999999</v>
      </c>
      <c r="U84" s="41">
        <f t="shared" si="16"/>
        <v>26.731249999999996</v>
      </c>
      <c r="V84" s="42">
        <f t="shared" si="10"/>
        <v>25.863702160472947</v>
      </c>
      <c r="W84" s="43">
        <v>2.5039400000000001</v>
      </c>
      <c r="X84" s="41">
        <v>52.165416666666665</v>
      </c>
      <c r="Y84" s="42">
        <f t="shared" si="11"/>
        <v>50.472417105209757</v>
      </c>
      <c r="Z84" s="39">
        <v>1.1424000000000001</v>
      </c>
      <c r="AA84" s="41">
        <f t="shared" si="17"/>
        <v>23.8</v>
      </c>
      <c r="AB84" s="42">
        <f t="shared" si="12"/>
        <v>23.0275842476224</v>
      </c>
    </row>
    <row r="85" spans="1:28" ht="15.5" x14ac:dyDescent="0.35">
      <c r="A85" s="37">
        <v>19</v>
      </c>
      <c r="B85" s="35" t="s">
        <v>278</v>
      </c>
      <c r="C85" s="36" t="s">
        <v>241</v>
      </c>
      <c r="D85" s="55" t="s">
        <v>279</v>
      </c>
      <c r="E85" s="55" t="s">
        <v>280</v>
      </c>
      <c r="F85" s="62" t="s">
        <v>118</v>
      </c>
      <c r="G85" s="36" t="s">
        <v>119</v>
      </c>
      <c r="H85" s="36">
        <v>1</v>
      </c>
      <c r="I85" s="36">
        <v>240</v>
      </c>
      <c r="J85" s="36">
        <v>0.2</v>
      </c>
      <c r="K85" s="37">
        <v>31</v>
      </c>
      <c r="L85" s="37">
        <v>1009</v>
      </c>
      <c r="M85" s="38">
        <v>1.2350000000000001</v>
      </c>
      <c r="N85" s="39">
        <v>1.3764000000000001</v>
      </c>
      <c r="O85" s="38">
        <f t="shared" si="13"/>
        <v>2.9458333333333329</v>
      </c>
      <c r="P85" s="40">
        <f>(O85*L85*298)/(1013.25*(K85+273))</f>
        <v>2.8755796821501072</v>
      </c>
      <c r="Q85" s="39">
        <v>0.36280000000000001</v>
      </c>
      <c r="R85" s="41">
        <f t="shared" si="14"/>
        <v>7.5583333333333336</v>
      </c>
      <c r="S85" s="42">
        <f t="shared" si="15"/>
        <v>7.3780785621220577</v>
      </c>
      <c r="T85" s="39">
        <v>0.17119999999999999</v>
      </c>
      <c r="U85" s="41">
        <f t="shared" si="16"/>
        <v>3.5666666666666664</v>
      </c>
      <c r="V85" s="42">
        <f t="shared" si="10"/>
        <v>3.4816070833387438</v>
      </c>
      <c r="W85" s="43">
        <v>0.31378600000000006</v>
      </c>
      <c r="X85" s="41">
        <v>6.5372083333333348</v>
      </c>
      <c r="Y85" s="42">
        <f>(X85*L85*298)/(1013.25*(K85+273))</f>
        <v>6.3813058425965616</v>
      </c>
      <c r="Z85" s="39">
        <v>9.01E-2</v>
      </c>
      <c r="AA85" s="41">
        <f t="shared" si="17"/>
        <v>1.8770833333333332</v>
      </c>
      <c r="AB85" s="42">
        <f t="shared" si="12"/>
        <v>1.8323177465468505</v>
      </c>
    </row>
    <row r="86" spans="1:28" s="27" customFormat="1" ht="15.5" x14ac:dyDescent="0.35">
      <c r="A86" s="31">
        <v>20</v>
      </c>
      <c r="B86" s="19" t="s">
        <v>278</v>
      </c>
      <c r="C86" s="20" t="s">
        <v>242</v>
      </c>
      <c r="D86" s="55" t="s">
        <v>279</v>
      </c>
      <c r="E86" s="55" t="s">
        <v>281</v>
      </c>
      <c r="F86" s="63"/>
      <c r="G86" s="20" t="s">
        <v>120</v>
      </c>
      <c r="H86" s="20">
        <v>1</v>
      </c>
      <c r="I86" s="20">
        <v>240</v>
      </c>
      <c r="J86" s="20">
        <v>0.2</v>
      </c>
      <c r="K86" s="31">
        <v>34.4</v>
      </c>
      <c r="L86" s="31">
        <v>1007</v>
      </c>
      <c r="M86" s="21">
        <v>1.2350000000000001</v>
      </c>
      <c r="N86" s="23">
        <v>1.5329999999999999</v>
      </c>
      <c r="O86" s="21">
        <f t="shared" si="13"/>
        <v>6.2083333333333295</v>
      </c>
      <c r="P86" s="22">
        <f t="shared" si="9"/>
        <v>5.9813647333747344</v>
      </c>
      <c r="Q86" s="23">
        <v>0.50509999999999899</v>
      </c>
      <c r="R86" s="24">
        <f t="shared" si="14"/>
        <v>10.522916666666646</v>
      </c>
      <c r="S86" s="25">
        <f t="shared" si="15"/>
        <v>10.138212506132799</v>
      </c>
      <c r="T86" s="23">
        <v>0.16800000000000001</v>
      </c>
      <c r="U86" s="24">
        <f t="shared" si="16"/>
        <v>3.5</v>
      </c>
      <c r="V86" s="25">
        <f t="shared" si="10"/>
        <v>3.3720445476743497</v>
      </c>
      <c r="W86" s="26">
        <v>0.31340000000000001</v>
      </c>
      <c r="X86" s="24">
        <v>6.5291666666666668</v>
      </c>
      <c r="Y86" s="25">
        <f t="shared" si="11"/>
        <v>6.2904688169115541</v>
      </c>
      <c r="Z86" s="23">
        <v>0.1099</v>
      </c>
      <c r="AA86" s="24">
        <f t="shared" si="17"/>
        <v>2.2895833333333333</v>
      </c>
      <c r="AB86" s="25">
        <f t="shared" si="12"/>
        <v>2.2058791416036367</v>
      </c>
    </row>
    <row r="87" spans="1:28" ht="15.5" x14ac:dyDescent="0.35">
      <c r="A87" s="37">
        <v>21</v>
      </c>
      <c r="B87" s="35" t="s">
        <v>278</v>
      </c>
      <c r="C87" s="36" t="s">
        <v>243</v>
      </c>
      <c r="D87" s="55" t="s">
        <v>279</v>
      </c>
      <c r="E87" s="55" t="s">
        <v>282</v>
      </c>
      <c r="F87" s="63"/>
      <c r="G87" s="36" t="s">
        <v>121</v>
      </c>
      <c r="H87" s="36">
        <v>1</v>
      </c>
      <c r="I87" s="36">
        <v>240</v>
      </c>
      <c r="J87" s="36">
        <v>0.2</v>
      </c>
      <c r="K87" s="37">
        <v>30</v>
      </c>
      <c r="L87" s="37">
        <v>1008</v>
      </c>
      <c r="M87" s="38">
        <v>1.2350000000000001</v>
      </c>
      <c r="N87" s="39">
        <v>1.5171000000000001</v>
      </c>
      <c r="O87" s="38">
        <f t="shared" si="13"/>
        <v>5.8770833333333332</v>
      </c>
      <c r="P87" s="40">
        <f t="shared" si="9"/>
        <v>5.7501530463927217</v>
      </c>
      <c r="Q87" s="39">
        <v>0.72050000000000003</v>
      </c>
      <c r="R87" s="41">
        <f>(Q87*H87)/(I87*J87*10^-3)</f>
        <v>15.010416666666668</v>
      </c>
      <c r="S87" s="42">
        <f t="shared" si="15"/>
        <v>14.68622924468613</v>
      </c>
      <c r="T87" s="39">
        <v>0.19600000000000001</v>
      </c>
      <c r="U87" s="41">
        <f t="shared" si="16"/>
        <v>4.083333333333333</v>
      </c>
      <c r="V87" s="42">
        <f t="shared" si="10"/>
        <v>3.9951435558063579</v>
      </c>
      <c r="W87" s="43">
        <v>0.30103999999999997</v>
      </c>
      <c r="X87" s="41">
        <v>6.2716666666666656</v>
      </c>
      <c r="Y87" s="42">
        <f t="shared" si="11"/>
        <v>6.1362143675507443</v>
      </c>
      <c r="Z87" s="39">
        <v>0.12670000000000001</v>
      </c>
      <c r="AA87" s="41">
        <f t="shared" si="17"/>
        <v>2.6395833333333334</v>
      </c>
      <c r="AB87" s="42">
        <f t="shared" si="12"/>
        <v>2.5825749414319672</v>
      </c>
    </row>
    <row r="88" spans="1:28" s="43" customFormat="1" ht="15.5" x14ac:dyDescent="0.35">
      <c r="A88" s="37">
        <v>22</v>
      </c>
      <c r="B88" s="35" t="s">
        <v>278</v>
      </c>
      <c r="C88" s="36" t="s">
        <v>244</v>
      </c>
      <c r="D88" s="55" t="s">
        <v>283</v>
      </c>
      <c r="E88" s="55" t="s">
        <v>280</v>
      </c>
      <c r="F88" s="58"/>
      <c r="G88" s="36"/>
      <c r="H88" s="36">
        <v>1</v>
      </c>
      <c r="I88" s="36">
        <v>240</v>
      </c>
      <c r="J88" s="36">
        <v>0.2</v>
      </c>
      <c r="K88" s="37">
        <v>31</v>
      </c>
      <c r="L88" s="37">
        <v>1009</v>
      </c>
      <c r="M88" s="38">
        <v>1.2350000000000001</v>
      </c>
      <c r="N88" s="39">
        <v>2.0133999999999999</v>
      </c>
      <c r="O88" s="38">
        <f t="shared" si="13"/>
        <v>16.216666666666661</v>
      </c>
      <c r="P88" s="40">
        <f t="shared" si="9"/>
        <v>15.829923794806527</v>
      </c>
      <c r="Q88" s="39">
        <v>1.8032999999999999</v>
      </c>
      <c r="R88" s="41">
        <f t="shared" si="14"/>
        <v>37.568749999999994</v>
      </c>
      <c r="S88" s="42">
        <f t="shared" si="15"/>
        <v>36.672792367901614</v>
      </c>
      <c r="T88" s="39">
        <v>0.78459999999999996</v>
      </c>
      <c r="U88" s="41">
        <f t="shared" si="16"/>
        <v>16.345833333333331</v>
      </c>
      <c r="V88" s="42">
        <f t="shared" si="10"/>
        <v>15.956010032637723</v>
      </c>
      <c r="W88" s="43">
        <v>1.0610599999999999</v>
      </c>
      <c r="X88" s="41">
        <v>22.105416666666663</v>
      </c>
      <c r="Y88" s="42">
        <f t="shared" si="11"/>
        <v>21.578236050510558</v>
      </c>
      <c r="Z88" s="39">
        <v>1.0960000000000001</v>
      </c>
      <c r="AA88" s="41">
        <f t="shared" si="17"/>
        <v>22.833333333333336</v>
      </c>
      <c r="AB88" s="42">
        <f t="shared" si="12"/>
        <v>22.288793010159253</v>
      </c>
    </row>
    <row r="89" spans="1:28" s="43" customFormat="1" ht="15.5" x14ac:dyDescent="0.35">
      <c r="A89" s="37">
        <v>23</v>
      </c>
      <c r="B89" s="35" t="s">
        <v>278</v>
      </c>
      <c r="C89" s="36" t="s">
        <v>245</v>
      </c>
      <c r="D89" s="55" t="s">
        <v>283</v>
      </c>
      <c r="E89" s="55" t="s">
        <v>281</v>
      </c>
      <c r="F89" s="58"/>
      <c r="G89" s="36"/>
      <c r="H89" s="36">
        <v>1</v>
      </c>
      <c r="I89" s="36">
        <v>240</v>
      </c>
      <c r="J89" s="36">
        <v>0.2</v>
      </c>
      <c r="K89" s="31">
        <v>34.4</v>
      </c>
      <c r="L89" s="31">
        <v>1007</v>
      </c>
      <c r="M89" s="38">
        <v>1.2350000000000001</v>
      </c>
      <c r="N89" s="39">
        <v>2.1656999999999997</v>
      </c>
      <c r="O89" s="38">
        <f t="shared" si="13"/>
        <v>19.389583333333327</v>
      </c>
      <c r="P89" s="40">
        <f t="shared" si="9"/>
        <v>18.680725360241166</v>
      </c>
      <c r="Q89" s="39">
        <v>2.5252600000000003</v>
      </c>
      <c r="R89" s="41">
        <f t="shared" si="14"/>
        <v>52.60958333333334</v>
      </c>
      <c r="S89" s="42">
        <f t="shared" si="15"/>
        <v>50.686245324167437</v>
      </c>
      <c r="T89" s="39">
        <v>1.3290999999999999</v>
      </c>
      <c r="U89" s="41">
        <f t="shared" si="16"/>
        <v>27.689583333333331</v>
      </c>
      <c r="V89" s="42">
        <f t="shared" si="10"/>
        <v>26.677288144726056</v>
      </c>
      <c r="W89" s="43">
        <v>1.6572800000000001</v>
      </c>
      <c r="X89" s="41">
        <v>34.526666666666671</v>
      </c>
      <c r="Y89" s="42">
        <f t="shared" si="11"/>
        <v>33.264416595058016</v>
      </c>
      <c r="Z89" s="39">
        <v>1.966</v>
      </c>
      <c r="AA89" s="41">
        <f t="shared" si="17"/>
        <v>40.958333333333329</v>
      </c>
      <c r="AB89" s="42">
        <f t="shared" si="12"/>
        <v>39.46094988528435</v>
      </c>
    </row>
    <row r="90" spans="1:28" s="43" customFormat="1" ht="15.5" x14ac:dyDescent="0.35">
      <c r="A90" s="37">
        <v>24</v>
      </c>
      <c r="B90" s="35" t="s">
        <v>278</v>
      </c>
      <c r="C90" s="36" t="s">
        <v>246</v>
      </c>
      <c r="D90" s="55" t="s">
        <v>283</v>
      </c>
      <c r="E90" s="55" t="s">
        <v>282</v>
      </c>
      <c r="F90" s="58"/>
      <c r="G90" s="36"/>
      <c r="H90" s="36">
        <v>1</v>
      </c>
      <c r="I90" s="36">
        <v>240</v>
      </c>
      <c r="J90" s="36">
        <v>0.2</v>
      </c>
      <c r="K90" s="37">
        <v>30</v>
      </c>
      <c r="L90" s="37">
        <v>1008</v>
      </c>
      <c r="M90" s="38">
        <v>1.2350000000000001</v>
      </c>
      <c r="N90" s="39">
        <v>2.5278999999999998</v>
      </c>
      <c r="O90" s="38">
        <f t="shared" si="13"/>
        <v>26.935416666666661</v>
      </c>
      <c r="P90" s="40">
        <f t="shared" si="9"/>
        <v>26.353679098479791</v>
      </c>
      <c r="Q90" s="39">
        <v>2.6013000000000002</v>
      </c>
      <c r="R90" s="41">
        <f t="shared" si="14"/>
        <v>54.193750000000001</v>
      </c>
      <c r="S90" s="42">
        <f t="shared" si="15"/>
        <v>53.023300672036115</v>
      </c>
      <c r="T90" s="39">
        <v>1.4491000000000001</v>
      </c>
      <c r="U90" s="41">
        <f t="shared" si="16"/>
        <v>30.189583333333335</v>
      </c>
      <c r="V90" s="42">
        <f t="shared" si="10"/>
        <v>29.537563911831601</v>
      </c>
      <c r="W90" s="43">
        <v>2.061906</v>
      </c>
      <c r="X90" s="41">
        <v>42.956375000000001</v>
      </c>
      <c r="Y90" s="42">
        <f t="shared" si="11"/>
        <v>42.028624839686039</v>
      </c>
      <c r="Z90" s="39">
        <v>1.0116000000000001</v>
      </c>
      <c r="AA90" s="41">
        <f t="shared" si="17"/>
        <v>21.074999999999999</v>
      </c>
      <c r="AB90" s="42">
        <f t="shared" si="12"/>
        <v>20.619832760478118</v>
      </c>
    </row>
    <row r="91" spans="1:28" ht="15.5" x14ac:dyDescent="0.35">
      <c r="A91" s="37">
        <v>25</v>
      </c>
      <c r="B91" s="35" t="s">
        <v>278</v>
      </c>
      <c r="C91" s="36" t="s">
        <v>247</v>
      </c>
      <c r="D91" s="55" t="s">
        <v>284</v>
      </c>
      <c r="E91" s="55" t="s">
        <v>280</v>
      </c>
      <c r="F91" s="57" t="s">
        <v>114</v>
      </c>
      <c r="G91" s="36" t="s">
        <v>122</v>
      </c>
      <c r="H91" s="36">
        <v>1</v>
      </c>
      <c r="I91" s="36">
        <v>240</v>
      </c>
      <c r="J91" s="36">
        <v>0.2</v>
      </c>
      <c r="K91" s="37">
        <v>31</v>
      </c>
      <c r="L91" s="37">
        <v>1009</v>
      </c>
      <c r="M91" s="38">
        <v>1.2350000000000001</v>
      </c>
      <c r="N91" s="39">
        <v>2.1483999999999996</v>
      </c>
      <c r="O91" s="38">
        <f t="shared" si="13"/>
        <v>19.029166666666658</v>
      </c>
      <c r="P91" s="40">
        <f t="shared" si="9"/>
        <v>18.575349941130884</v>
      </c>
      <c r="Q91" s="39">
        <v>1.87127</v>
      </c>
      <c r="R91" s="41">
        <f t="shared" si="14"/>
        <v>38.984791666666666</v>
      </c>
      <c r="S91" s="42">
        <f t="shared" si="15"/>
        <v>38.055063591351008</v>
      </c>
      <c r="T91" s="39">
        <v>0.93740000000000001</v>
      </c>
      <c r="U91" s="41">
        <f t="shared" si="16"/>
        <v>19.529166666666665</v>
      </c>
      <c r="V91" s="42">
        <f t="shared" si="10"/>
        <v>19.063425700477445</v>
      </c>
      <c r="W91" s="43">
        <v>1.4252800000000001</v>
      </c>
      <c r="X91" s="41">
        <v>29.693333333333335</v>
      </c>
      <c r="Y91" s="42">
        <f t="shared" si="11"/>
        <v>28.985192428393955</v>
      </c>
      <c r="Z91" s="39">
        <v>1.0385</v>
      </c>
      <c r="AA91" s="41">
        <f t="shared" si="17"/>
        <v>21.635416666666664</v>
      </c>
      <c r="AB91" s="42">
        <f t="shared" si="12"/>
        <v>21.119444836724799</v>
      </c>
    </row>
    <row r="92" spans="1:28" ht="15.5" x14ac:dyDescent="0.35">
      <c r="A92" s="37">
        <v>26</v>
      </c>
      <c r="B92" s="35" t="s">
        <v>278</v>
      </c>
      <c r="C92" s="36" t="s">
        <v>248</v>
      </c>
      <c r="D92" s="55" t="s">
        <v>284</v>
      </c>
      <c r="E92" s="55" t="s">
        <v>281</v>
      </c>
      <c r="F92" s="58"/>
      <c r="G92" s="36" t="s">
        <v>123</v>
      </c>
      <c r="H92" s="36">
        <v>1</v>
      </c>
      <c r="I92" s="36">
        <v>240</v>
      </c>
      <c r="J92" s="36">
        <v>0.2</v>
      </c>
      <c r="K92" s="31">
        <v>34.4</v>
      </c>
      <c r="L92" s="31">
        <v>1007</v>
      </c>
      <c r="M92" s="38">
        <v>1.2350000000000001</v>
      </c>
      <c r="N92" s="39">
        <v>2.7242999999999999</v>
      </c>
      <c r="O92" s="38">
        <f t="shared" si="13"/>
        <v>31.02708333333333</v>
      </c>
      <c r="P92" s="40">
        <f t="shared" si="9"/>
        <v>29.892773481258381</v>
      </c>
      <c r="Q92" s="39">
        <v>2.2645</v>
      </c>
      <c r="R92" s="41">
        <f t="shared" si="14"/>
        <v>47.177083333333329</v>
      </c>
      <c r="S92" s="42">
        <f t="shared" si="15"/>
        <v>45.452350465527168</v>
      </c>
      <c r="T92" s="39">
        <v>1.4934000000000001</v>
      </c>
      <c r="U92" s="41">
        <f t="shared" si="16"/>
        <v>31.112500000000001</v>
      </c>
      <c r="V92" s="42">
        <f t="shared" si="10"/>
        <v>29.975067425576629</v>
      </c>
      <c r="W92" s="43">
        <v>2.1672400000000001</v>
      </c>
      <c r="X92" s="41">
        <v>45.150833333333331</v>
      </c>
      <c r="Y92" s="42">
        <f t="shared" si="11"/>
        <v>43.500177532748559</v>
      </c>
      <c r="Z92" s="39">
        <v>1.5925199999999999</v>
      </c>
      <c r="AA92" s="41">
        <f t="shared" si="17"/>
        <v>33.177499999999995</v>
      </c>
      <c r="AB92" s="42">
        <f t="shared" si="12"/>
        <v>31.964573708704489</v>
      </c>
    </row>
    <row r="93" spans="1:28" ht="15.5" x14ac:dyDescent="0.35">
      <c r="A93" s="37">
        <v>27</v>
      </c>
      <c r="B93" s="35" t="s">
        <v>278</v>
      </c>
      <c r="C93" s="36" t="s">
        <v>249</v>
      </c>
      <c r="D93" s="55" t="s">
        <v>284</v>
      </c>
      <c r="E93" s="55" t="s">
        <v>282</v>
      </c>
      <c r="F93" s="58"/>
      <c r="G93" s="36" t="s">
        <v>124</v>
      </c>
      <c r="H93" s="36">
        <v>1</v>
      </c>
      <c r="I93" s="36">
        <v>240</v>
      </c>
      <c r="J93" s="36">
        <v>0.2</v>
      </c>
      <c r="K93" s="37">
        <v>30</v>
      </c>
      <c r="L93" s="37">
        <v>1008</v>
      </c>
      <c r="M93" s="38">
        <v>1.2350000000000001</v>
      </c>
      <c r="N93" s="39">
        <v>1.9162000000000001</v>
      </c>
      <c r="O93" s="38">
        <f t="shared" si="13"/>
        <v>14.191666666666666</v>
      </c>
      <c r="P93" s="40">
        <f t="shared" si="9"/>
        <v>13.885162194975972</v>
      </c>
      <c r="Q93" s="39">
        <v>2.4340999999999999</v>
      </c>
      <c r="R93" s="41">
        <f t="shared" si="14"/>
        <v>50.710416666666667</v>
      </c>
      <c r="S93" s="42">
        <f t="shared" si="15"/>
        <v>49.615198618307424</v>
      </c>
      <c r="T93" s="39">
        <v>1.1919999999999999</v>
      </c>
      <c r="U93" s="41">
        <f t="shared" si="16"/>
        <v>24.833333333333332</v>
      </c>
      <c r="V93" s="42">
        <f t="shared" si="10"/>
        <v>24.296995502659072</v>
      </c>
      <c r="W93" s="43">
        <v>2.0338440000000002</v>
      </c>
      <c r="X93" s="41">
        <v>42.371750000000006</v>
      </c>
      <c r="Y93" s="42">
        <f t="shared" si="11"/>
        <v>41.456626276099122</v>
      </c>
      <c r="Z93" s="39">
        <v>1.2944</v>
      </c>
      <c r="AA93" s="41">
        <f t="shared" si="17"/>
        <v>26.966666666666665</v>
      </c>
      <c r="AB93" s="42">
        <f t="shared" si="12"/>
        <v>26.384254176713007</v>
      </c>
    </row>
    <row r="94" spans="1:28" s="43" customFormat="1" ht="15.5" x14ac:dyDescent="0.35">
      <c r="A94" s="37">
        <v>1</v>
      </c>
      <c r="B94" s="35" t="s">
        <v>278</v>
      </c>
      <c r="C94" s="36" t="s">
        <v>250</v>
      </c>
      <c r="D94" s="55" t="s">
        <v>279</v>
      </c>
      <c r="E94" s="55" t="s">
        <v>280</v>
      </c>
      <c r="F94" s="36"/>
      <c r="G94" s="36"/>
      <c r="H94" s="36">
        <v>1</v>
      </c>
      <c r="I94" s="36">
        <v>240</v>
      </c>
      <c r="J94" s="36">
        <v>0.2</v>
      </c>
      <c r="K94" s="37">
        <v>29.6</v>
      </c>
      <c r="L94" s="37">
        <v>1008</v>
      </c>
      <c r="M94" s="38">
        <v>1.2350000000000001</v>
      </c>
      <c r="N94" s="38">
        <v>1.4609000000000001</v>
      </c>
      <c r="O94" s="38">
        <f t="shared" si="13"/>
        <v>4.7062499999999998</v>
      </c>
      <c r="P94" s="40">
        <f t="shared" si="9"/>
        <v>4.6106935060220744</v>
      </c>
      <c r="Q94" s="38">
        <v>0.49069999999999997</v>
      </c>
      <c r="R94" s="41">
        <f t="shared" si="14"/>
        <v>10.222916666666666</v>
      </c>
      <c r="S94" s="42">
        <f t="shared" si="15"/>
        <v>10.015348841987745</v>
      </c>
      <c r="T94" s="38">
        <v>0.1343</v>
      </c>
      <c r="U94" s="41">
        <f t="shared" si="16"/>
        <v>2.7979166666666666</v>
      </c>
      <c r="V94" s="42">
        <f t="shared" si="10"/>
        <v>2.7411072946381787</v>
      </c>
      <c r="W94" s="43">
        <v>0.3594</v>
      </c>
      <c r="X94" s="41">
        <v>7.4874999999999998</v>
      </c>
      <c r="Y94" s="42">
        <f t="shared" si="11"/>
        <v>7.335472536805371</v>
      </c>
      <c r="Z94" s="46">
        <v>0.26133333333333336</v>
      </c>
      <c r="AA94" s="41">
        <f t="shared" si="17"/>
        <v>5.4444444444444446</v>
      </c>
      <c r="AB94" s="42">
        <f t="shared" si="12"/>
        <v>5.3338995259278539</v>
      </c>
    </row>
    <row r="95" spans="1:28" s="43" customFormat="1" ht="15.5" x14ac:dyDescent="0.35">
      <c r="A95" s="37">
        <v>2</v>
      </c>
      <c r="B95" s="35" t="s">
        <v>278</v>
      </c>
      <c r="C95" s="36" t="s">
        <v>251</v>
      </c>
      <c r="D95" s="55" t="s">
        <v>279</v>
      </c>
      <c r="E95" s="55" t="s">
        <v>281</v>
      </c>
      <c r="F95" s="36"/>
      <c r="G95" s="36"/>
      <c r="H95" s="36">
        <v>1</v>
      </c>
      <c r="I95" s="36">
        <v>240</v>
      </c>
      <c r="J95" s="36">
        <v>0.2</v>
      </c>
      <c r="K95" s="37">
        <v>34.5</v>
      </c>
      <c r="L95" s="37">
        <v>1005</v>
      </c>
      <c r="M95" s="38">
        <v>1.2350000000000001</v>
      </c>
      <c r="N95" s="39">
        <v>1.7158</v>
      </c>
      <c r="O95" s="38">
        <f t="shared" si="13"/>
        <v>10.016666666666664</v>
      </c>
      <c r="P95" s="40">
        <f t="shared" si="9"/>
        <v>9.6281714438165817</v>
      </c>
      <c r="Q95" s="39">
        <v>0.92330000000000001</v>
      </c>
      <c r="R95" s="41">
        <f t="shared" si="14"/>
        <v>19.235416666666666</v>
      </c>
      <c r="S95" s="42">
        <f t="shared" si="15"/>
        <v>18.489373323785053</v>
      </c>
      <c r="T95" s="39">
        <v>0.1648</v>
      </c>
      <c r="U95" s="41">
        <f t="shared" si="16"/>
        <v>3.4333333333333331</v>
      </c>
      <c r="V95" s="42">
        <f t="shared" si="10"/>
        <v>3.3001719091950359</v>
      </c>
      <c r="W95" s="43">
        <v>0.55003999999999997</v>
      </c>
      <c r="X95" s="41">
        <v>11.459166666666667</v>
      </c>
      <c r="Y95" s="42">
        <f t="shared" si="11"/>
        <v>11.014724253238091</v>
      </c>
      <c r="Z95" s="39">
        <v>0.32640000000000002</v>
      </c>
      <c r="AA95" s="41">
        <f t="shared" si="17"/>
        <v>6.8000000000000007</v>
      </c>
      <c r="AB95" s="42">
        <f t="shared" si="12"/>
        <v>6.5362628104445371</v>
      </c>
    </row>
    <row r="96" spans="1:28" s="43" customFormat="1" ht="15.5" x14ac:dyDescent="0.35">
      <c r="A96" s="37">
        <v>3</v>
      </c>
      <c r="B96" s="35" t="s">
        <v>278</v>
      </c>
      <c r="C96" s="36" t="s">
        <v>252</v>
      </c>
      <c r="D96" s="55" t="s">
        <v>279</v>
      </c>
      <c r="E96" s="55" t="s">
        <v>282</v>
      </c>
      <c r="F96" s="36"/>
      <c r="G96" s="36"/>
      <c r="H96" s="36">
        <v>1</v>
      </c>
      <c r="I96" s="36">
        <v>240</v>
      </c>
      <c r="J96" s="36">
        <v>0.2</v>
      </c>
      <c r="K96" s="37">
        <v>32.4</v>
      </c>
      <c r="L96" s="37">
        <v>1006</v>
      </c>
      <c r="M96" s="38">
        <v>1.2350000000000001</v>
      </c>
      <c r="N96" s="39">
        <v>1.5187999999999999</v>
      </c>
      <c r="O96" s="38">
        <f t="shared" si="13"/>
        <v>5.9124999999999961</v>
      </c>
      <c r="P96" s="40">
        <f t="shared" si="9"/>
        <v>5.7279570575273784</v>
      </c>
      <c r="Q96" s="39">
        <v>0.6179</v>
      </c>
      <c r="R96" s="41">
        <f t="shared" si="14"/>
        <v>12.872916666666667</v>
      </c>
      <c r="S96" s="42">
        <f t="shared" si="15"/>
        <v>12.471122853580585</v>
      </c>
      <c r="T96" s="39">
        <v>0.24529999999999999</v>
      </c>
      <c r="U96" s="41">
        <f t="shared" si="16"/>
        <v>5.1104166666666666</v>
      </c>
      <c r="V96" s="42">
        <f t="shared" si="10"/>
        <v>4.9509086194907219</v>
      </c>
      <c r="W96" s="43">
        <v>0.45279999999999998</v>
      </c>
      <c r="X96" s="41">
        <v>9.4333333333333336</v>
      </c>
      <c r="Y96" s="42">
        <f t="shared" si="11"/>
        <v>9.1388969543636343</v>
      </c>
      <c r="Z96" s="39">
        <v>0.27333333333333337</v>
      </c>
      <c r="AA96" s="41">
        <f t="shared" si="17"/>
        <v>5.6944444444444455</v>
      </c>
      <c r="AB96" s="42">
        <f t="shared" si="12"/>
        <v>5.5167075254550797</v>
      </c>
    </row>
    <row r="97" spans="1:28" ht="15.5" x14ac:dyDescent="0.35">
      <c r="A97" s="37">
        <v>4</v>
      </c>
      <c r="B97" s="35" t="s">
        <v>278</v>
      </c>
      <c r="C97" s="36" t="s">
        <v>253</v>
      </c>
      <c r="D97" s="55" t="s">
        <v>283</v>
      </c>
      <c r="E97" s="55" t="s">
        <v>280</v>
      </c>
      <c r="F97" s="62" t="s">
        <v>126</v>
      </c>
      <c r="G97" s="36" t="s">
        <v>115</v>
      </c>
      <c r="H97" s="36">
        <v>1</v>
      </c>
      <c r="I97" s="36">
        <v>240</v>
      </c>
      <c r="J97" s="36">
        <v>0.2</v>
      </c>
      <c r="K97" s="37">
        <v>29.6</v>
      </c>
      <c r="L97" s="37">
        <v>1008</v>
      </c>
      <c r="M97" s="38">
        <v>1.2350000000000001</v>
      </c>
      <c r="N97" s="39">
        <v>2.1097000000000001</v>
      </c>
      <c r="O97" s="38">
        <f t="shared" si="13"/>
        <v>18.222916666666666</v>
      </c>
      <c r="P97" s="40">
        <f t="shared" si="9"/>
        <v>17.852915492330716</v>
      </c>
      <c r="Q97" s="39">
        <v>1.2864</v>
      </c>
      <c r="R97" s="41">
        <f t="shared" si="14"/>
        <v>26.8</v>
      </c>
      <c r="S97" s="42">
        <f t="shared" si="15"/>
        <v>26.255848278648944</v>
      </c>
      <c r="T97" s="39">
        <v>0.81769999999999998</v>
      </c>
      <c r="U97" s="41">
        <f t="shared" si="16"/>
        <v>17.035416666666666</v>
      </c>
      <c r="V97" s="42">
        <f t="shared" si="10"/>
        <v>16.689526692670434</v>
      </c>
      <c r="W97" s="43">
        <v>1.2018</v>
      </c>
      <c r="X97" s="41">
        <v>25.037499999999998</v>
      </c>
      <c r="Y97" s="42">
        <f t="shared" si="11"/>
        <v>24.529134375995259</v>
      </c>
      <c r="Z97" s="39">
        <v>1.07066666666666</v>
      </c>
      <c r="AA97" s="41">
        <f t="shared" si="17"/>
        <v>22.305555555555415</v>
      </c>
      <c r="AB97" s="42">
        <f t="shared" si="12"/>
        <v>21.852659792449181</v>
      </c>
    </row>
    <row r="98" spans="1:28" ht="15.5" x14ac:dyDescent="0.35">
      <c r="A98" s="37">
        <v>5</v>
      </c>
      <c r="B98" s="35" t="s">
        <v>278</v>
      </c>
      <c r="C98" s="36" t="s">
        <v>254</v>
      </c>
      <c r="D98" s="55" t="s">
        <v>283</v>
      </c>
      <c r="E98" s="55" t="s">
        <v>281</v>
      </c>
      <c r="F98" s="63"/>
      <c r="G98" s="36" t="s">
        <v>127</v>
      </c>
      <c r="H98" s="36">
        <v>1</v>
      </c>
      <c r="I98" s="36">
        <v>240</v>
      </c>
      <c r="J98" s="36">
        <v>0.2</v>
      </c>
      <c r="K98" s="37">
        <v>34.5</v>
      </c>
      <c r="L98" s="37">
        <v>1005</v>
      </c>
      <c r="M98" s="38">
        <v>1.2350000000000001</v>
      </c>
      <c r="N98" s="39">
        <v>2.8604100000000003</v>
      </c>
      <c r="O98" s="38">
        <f t="shared" si="13"/>
        <v>33.862708333333337</v>
      </c>
      <c r="P98" s="40">
        <f t="shared" si="9"/>
        <v>32.549347226484855</v>
      </c>
      <c r="Q98" s="39">
        <v>2.4767000000000001</v>
      </c>
      <c r="R98" s="41">
        <f t="shared" si="14"/>
        <v>51.59791666666667</v>
      </c>
      <c r="S98" s="42">
        <f t="shared" si="15"/>
        <v>49.596697618345537</v>
      </c>
      <c r="T98" s="39">
        <v>1.0685399999999998</v>
      </c>
      <c r="U98" s="41">
        <f t="shared" si="16"/>
        <v>22.261249999999997</v>
      </c>
      <c r="V98" s="42">
        <f t="shared" si="10"/>
        <v>21.397850071913005</v>
      </c>
      <c r="W98" s="43">
        <v>1.9763999999999999</v>
      </c>
      <c r="X98" s="41">
        <v>41.174999999999997</v>
      </c>
      <c r="Y98" s="42">
        <f t="shared" si="11"/>
        <v>39.578032532360851</v>
      </c>
      <c r="Z98" s="39">
        <v>1.1023333333333298</v>
      </c>
      <c r="AA98" s="41">
        <f t="shared" si="17"/>
        <v>22.965277777777704</v>
      </c>
      <c r="AB98" s="42">
        <f t="shared" si="12"/>
        <v>22.074572216237758</v>
      </c>
    </row>
    <row r="99" spans="1:28" ht="15.5" x14ac:dyDescent="0.35">
      <c r="A99" s="37">
        <v>6</v>
      </c>
      <c r="B99" s="35" t="s">
        <v>278</v>
      </c>
      <c r="C99" s="36" t="s">
        <v>255</v>
      </c>
      <c r="D99" s="55" t="s">
        <v>283</v>
      </c>
      <c r="E99" s="55" t="s">
        <v>282</v>
      </c>
      <c r="F99" s="63"/>
      <c r="G99" s="36" t="s">
        <v>128</v>
      </c>
      <c r="H99" s="36">
        <v>1</v>
      </c>
      <c r="I99" s="36">
        <v>240</v>
      </c>
      <c r="J99" s="36">
        <v>0.2</v>
      </c>
      <c r="K99" s="37">
        <v>32.4</v>
      </c>
      <c r="L99" s="37">
        <v>1006</v>
      </c>
      <c r="M99" s="38">
        <v>1.2350000000000001</v>
      </c>
      <c r="N99" s="39">
        <v>2.2987000000000002</v>
      </c>
      <c r="O99" s="38">
        <f t="shared" si="13"/>
        <v>22.160416666666666</v>
      </c>
      <c r="P99" s="40">
        <f t="shared" si="9"/>
        <v>21.468738273755729</v>
      </c>
      <c r="Q99" s="39">
        <v>2.9381000000000004</v>
      </c>
      <c r="R99" s="41">
        <f t="shared" si="14"/>
        <v>61.210416666666674</v>
      </c>
      <c r="S99" s="42">
        <f t="shared" si="15"/>
        <v>59.299896514169149</v>
      </c>
      <c r="T99" s="39">
        <v>0.87819999999999998</v>
      </c>
      <c r="U99" s="41">
        <f t="shared" si="16"/>
        <v>18.295833333333334</v>
      </c>
      <c r="V99" s="42">
        <f t="shared" si="10"/>
        <v>17.724777617760914</v>
      </c>
      <c r="W99" s="43">
        <v>1.9441999999999999</v>
      </c>
      <c r="X99" s="41">
        <v>40.504166666666663</v>
      </c>
      <c r="Y99" s="42">
        <f t="shared" si="11"/>
        <v>39.239936967035725</v>
      </c>
      <c r="Z99" s="39">
        <v>1.2242999999999999</v>
      </c>
      <c r="AA99" s="41">
        <f t="shared" si="17"/>
        <v>25.506249999999998</v>
      </c>
      <c r="AB99" s="42">
        <f t="shared" si="12"/>
        <v>24.7101403295658</v>
      </c>
    </row>
    <row r="100" spans="1:28" ht="15.5" x14ac:dyDescent="0.35">
      <c r="A100" s="37">
        <v>7</v>
      </c>
      <c r="B100" s="35" t="s">
        <v>278</v>
      </c>
      <c r="C100" s="36" t="s">
        <v>256</v>
      </c>
      <c r="D100" s="55" t="s">
        <v>284</v>
      </c>
      <c r="E100" s="55" t="s">
        <v>280</v>
      </c>
      <c r="F100" s="62" t="s">
        <v>129</v>
      </c>
      <c r="G100" s="36" t="s">
        <v>130</v>
      </c>
      <c r="H100" s="36">
        <v>1</v>
      </c>
      <c r="I100" s="36">
        <v>240</v>
      </c>
      <c r="J100" s="36">
        <v>0.2</v>
      </c>
      <c r="K100" s="37">
        <v>29.6</v>
      </c>
      <c r="L100" s="37">
        <v>1008</v>
      </c>
      <c r="M100" s="38">
        <v>1.2350000000000001</v>
      </c>
      <c r="N100" s="39">
        <v>2.1720000000000002</v>
      </c>
      <c r="O100" s="38">
        <f t="shared" si="13"/>
        <v>19.520833333333336</v>
      </c>
      <c r="P100" s="40">
        <f t="shared" si="9"/>
        <v>19.124479040029591</v>
      </c>
      <c r="Q100" s="39">
        <v>1.8613000000000002</v>
      </c>
      <c r="R100" s="41">
        <f t="shared" si="14"/>
        <v>38.777083333333337</v>
      </c>
      <c r="S100" s="42">
        <f t="shared" si="15"/>
        <v>37.989746891362934</v>
      </c>
      <c r="T100" s="39">
        <v>0.91439999999999999</v>
      </c>
      <c r="U100" s="41">
        <f t="shared" si="16"/>
        <v>19.05</v>
      </c>
      <c r="V100" s="42">
        <f t="shared" si="10"/>
        <v>18.663205586129195</v>
      </c>
      <c r="W100" s="43">
        <v>1.8558600000000001</v>
      </c>
      <c r="X100" s="41">
        <v>38.66375</v>
      </c>
      <c r="Y100" s="42">
        <f t="shared" si="11"/>
        <v>37.878714697149739</v>
      </c>
      <c r="Z100" s="39">
        <v>1.1079999999999999</v>
      </c>
      <c r="AA100" s="41">
        <f t="shared" si="17"/>
        <v>23.083333333333329</v>
      </c>
      <c r="AB100" s="42">
        <f t="shared" si="12"/>
        <v>22.614645439010438</v>
      </c>
    </row>
    <row r="101" spans="1:28" ht="15.5" x14ac:dyDescent="0.35">
      <c r="A101" s="37">
        <v>8</v>
      </c>
      <c r="B101" s="35" t="s">
        <v>278</v>
      </c>
      <c r="C101" s="36" t="s">
        <v>257</v>
      </c>
      <c r="D101" s="55" t="s">
        <v>284</v>
      </c>
      <c r="E101" s="55" t="s">
        <v>281</v>
      </c>
      <c r="F101" s="63"/>
      <c r="G101" s="36" t="s">
        <v>131</v>
      </c>
      <c r="H101" s="36">
        <v>1</v>
      </c>
      <c r="I101" s="36">
        <v>240</v>
      </c>
      <c r="J101" s="36">
        <v>0.2</v>
      </c>
      <c r="K101" s="37">
        <v>34.5</v>
      </c>
      <c r="L101" s="37">
        <v>1005</v>
      </c>
      <c r="M101" s="38">
        <v>1.2350000000000001</v>
      </c>
      <c r="N101" s="39">
        <v>2.2623000000000002</v>
      </c>
      <c r="O101" s="38">
        <f t="shared" si="13"/>
        <v>21.402083333333334</v>
      </c>
      <c r="P101" s="40">
        <f t="shared" si="9"/>
        <v>20.57200608201493</v>
      </c>
      <c r="Q101" s="39">
        <v>2.7331000000000003</v>
      </c>
      <c r="R101" s="41">
        <f t="shared" si="14"/>
        <v>56.939583333333339</v>
      </c>
      <c r="S101" s="42">
        <f t="shared" si="15"/>
        <v>54.731188379981518</v>
      </c>
      <c r="T101" s="39">
        <v>0.99680000000000002</v>
      </c>
      <c r="U101" s="41">
        <f t="shared" si="16"/>
        <v>20.766666666666666</v>
      </c>
      <c r="V101" s="42">
        <f t="shared" si="10"/>
        <v>19.961233975034052</v>
      </c>
      <c r="W101" s="43">
        <v>2.2052</v>
      </c>
      <c r="X101" s="41">
        <v>45.94166666666667</v>
      </c>
      <c r="Y101" s="42">
        <f t="shared" si="11"/>
        <v>44.159824600466585</v>
      </c>
      <c r="Z101" s="39">
        <v>1.4404999999999999</v>
      </c>
      <c r="AA101" s="41">
        <f t="shared" si="17"/>
        <v>30.010416666666664</v>
      </c>
      <c r="AB101" s="42">
        <f t="shared" si="12"/>
        <v>28.846466232982088</v>
      </c>
    </row>
    <row r="102" spans="1:28" ht="15.5" x14ac:dyDescent="0.35">
      <c r="A102" s="37">
        <v>9</v>
      </c>
      <c r="B102" s="35" t="s">
        <v>278</v>
      </c>
      <c r="C102" s="36" t="s">
        <v>258</v>
      </c>
      <c r="D102" s="55" t="s">
        <v>284</v>
      </c>
      <c r="E102" s="55" t="s">
        <v>282</v>
      </c>
      <c r="F102" s="63"/>
      <c r="G102" s="36" t="s">
        <v>132</v>
      </c>
      <c r="H102" s="36">
        <v>1</v>
      </c>
      <c r="I102" s="36">
        <v>240</v>
      </c>
      <c r="J102" s="36">
        <v>0.2</v>
      </c>
      <c r="K102" s="37">
        <v>32.4</v>
      </c>
      <c r="L102" s="37">
        <v>1006</v>
      </c>
      <c r="M102" s="38">
        <v>1.2350000000000001</v>
      </c>
      <c r="N102" s="39">
        <v>2.0104000000000002</v>
      </c>
      <c r="O102" s="38">
        <f t="shared" si="13"/>
        <v>16.154166666666669</v>
      </c>
      <c r="P102" s="40">
        <f t="shared" si="9"/>
        <v>15.64995737282147</v>
      </c>
      <c r="Q102" s="39">
        <v>3.0608</v>
      </c>
      <c r="R102" s="41">
        <f t="shared" si="14"/>
        <v>63.766666666666666</v>
      </c>
      <c r="S102" s="42">
        <f t="shared" si="15"/>
        <v>61.776359977730131</v>
      </c>
      <c r="T102" s="39">
        <v>1.0771999999999999</v>
      </c>
      <c r="U102" s="41">
        <f t="shared" si="16"/>
        <v>22.441666666666666</v>
      </c>
      <c r="V102" s="42">
        <f t="shared" si="10"/>
        <v>21.741209803976378</v>
      </c>
      <c r="W102" s="43">
        <v>2.1747999999999998</v>
      </c>
      <c r="X102" s="41">
        <v>45.30833333333333</v>
      </c>
      <c r="Y102" s="42">
        <f t="shared" si="11"/>
        <v>43.894154364730618</v>
      </c>
      <c r="Z102" s="39">
        <v>1.2927</v>
      </c>
      <c r="AA102" s="41">
        <f t="shared" si="17"/>
        <v>26.931249999999999</v>
      </c>
      <c r="AB102" s="42">
        <f t="shared" si="12"/>
        <v>26.090662749350411</v>
      </c>
    </row>
    <row r="103" spans="1:28" ht="19.75" customHeight="1" x14ac:dyDescent="0.35">
      <c r="A103" s="37">
        <v>10</v>
      </c>
      <c r="B103" s="35" t="s">
        <v>277</v>
      </c>
      <c r="C103" s="36" t="s">
        <v>259</v>
      </c>
      <c r="D103" s="55" t="s">
        <v>279</v>
      </c>
      <c r="E103" s="55" t="s">
        <v>280</v>
      </c>
      <c r="F103" s="57" t="s">
        <v>125</v>
      </c>
      <c r="G103" s="36" t="s">
        <v>133</v>
      </c>
      <c r="H103" s="36">
        <v>1</v>
      </c>
      <c r="I103" s="36">
        <v>240</v>
      </c>
      <c r="J103" s="36">
        <v>0.2</v>
      </c>
      <c r="K103" s="37">
        <v>30.2</v>
      </c>
      <c r="L103" s="37">
        <v>1008</v>
      </c>
      <c r="M103" s="38">
        <v>1.2350000000000001</v>
      </c>
      <c r="N103" s="38">
        <v>1.4026000000000001</v>
      </c>
      <c r="O103" s="38">
        <f t="shared" si="13"/>
        <v>3.4916666666666658</v>
      </c>
      <c r="P103" s="40">
        <f t="shared" si="9"/>
        <v>3.4140019412962936</v>
      </c>
      <c r="Q103" s="38">
        <v>0.50469999999999993</v>
      </c>
      <c r="R103" s="41">
        <f t="shared" si="14"/>
        <v>10.514583333333331</v>
      </c>
      <c r="S103" s="42">
        <f t="shared" si="15"/>
        <v>10.28070870985823</v>
      </c>
      <c r="T103" s="38">
        <v>0.1774</v>
      </c>
      <c r="U103" s="41">
        <f t="shared" si="16"/>
        <v>3.6958333333333333</v>
      </c>
      <c r="V103" s="42">
        <f t="shared" si="10"/>
        <v>3.6136273531382015</v>
      </c>
      <c r="W103" s="43">
        <v>0.43940000000000001</v>
      </c>
      <c r="X103" s="41">
        <v>9.1541666666666668</v>
      </c>
      <c r="Y103" s="42">
        <f t="shared" si="11"/>
        <v>8.9505516289116436</v>
      </c>
      <c r="Z103" s="38">
        <v>0.26866666666666666</v>
      </c>
      <c r="AA103" s="41">
        <f t="shared" si="17"/>
        <v>5.5972222222222223</v>
      </c>
      <c r="AB103" s="42">
        <f t="shared" si="12"/>
        <v>5.4727238756658974</v>
      </c>
    </row>
    <row r="104" spans="1:28" ht="19.75" customHeight="1" x14ac:dyDescent="0.35">
      <c r="A104" s="37">
        <v>11</v>
      </c>
      <c r="B104" s="35" t="s">
        <v>277</v>
      </c>
      <c r="C104" s="36" t="s">
        <v>260</v>
      </c>
      <c r="D104" s="55" t="s">
        <v>279</v>
      </c>
      <c r="E104" s="55" t="s">
        <v>281</v>
      </c>
      <c r="F104" s="58"/>
      <c r="G104" s="36" t="s">
        <v>134</v>
      </c>
      <c r="H104" s="36">
        <v>1</v>
      </c>
      <c r="I104" s="36">
        <v>240</v>
      </c>
      <c r="J104" s="36">
        <v>0.2</v>
      </c>
      <c r="K104" s="37">
        <v>35.1</v>
      </c>
      <c r="L104" s="37">
        <v>1006</v>
      </c>
      <c r="M104" s="38">
        <v>1.2350000000000001</v>
      </c>
      <c r="N104" s="39">
        <v>1.5493999999999999</v>
      </c>
      <c r="O104" s="38">
        <f t="shared" si="13"/>
        <v>6.5499999999999954</v>
      </c>
      <c r="P104" s="40">
        <f t="shared" si="9"/>
        <v>6.2899505921739758</v>
      </c>
      <c r="Q104" s="39">
        <v>0.61870000000000003</v>
      </c>
      <c r="R104" s="41">
        <f t="shared" si="14"/>
        <v>12.889583333333334</v>
      </c>
      <c r="S104" s="42">
        <f t="shared" si="15"/>
        <v>12.377838522194788</v>
      </c>
      <c r="T104" s="39">
        <v>0.46229999999999999</v>
      </c>
      <c r="U104" s="41">
        <f t="shared" si="16"/>
        <v>9.6312499999999996</v>
      </c>
      <c r="V104" s="42">
        <f t="shared" si="10"/>
        <v>9.2488681894466644</v>
      </c>
      <c r="W104" s="43">
        <v>0.56740000000000002</v>
      </c>
      <c r="X104" s="41">
        <v>11.820833333333333</v>
      </c>
      <c r="Y104" s="42">
        <f t="shared" si="11"/>
        <v>11.351520248090065</v>
      </c>
      <c r="Z104" s="39">
        <v>0.3841</v>
      </c>
      <c r="AA104" s="41">
        <f t="shared" si="17"/>
        <v>8.0020833333333332</v>
      </c>
      <c r="AB104" s="42">
        <f t="shared" si="12"/>
        <v>7.6843830230726002</v>
      </c>
    </row>
    <row r="105" spans="1:28" ht="19.75" customHeight="1" x14ac:dyDescent="0.35">
      <c r="A105" s="37">
        <v>12</v>
      </c>
      <c r="B105" s="35" t="s">
        <v>277</v>
      </c>
      <c r="C105" s="36" t="s">
        <v>261</v>
      </c>
      <c r="D105" s="55" t="s">
        <v>279</v>
      </c>
      <c r="E105" s="55" t="s">
        <v>282</v>
      </c>
      <c r="F105" s="58"/>
      <c r="G105" s="36" t="s">
        <v>135</v>
      </c>
      <c r="H105" s="36">
        <v>1</v>
      </c>
      <c r="I105" s="36">
        <v>240</v>
      </c>
      <c r="J105" s="36">
        <v>0.2</v>
      </c>
      <c r="K105" s="37">
        <v>32.6</v>
      </c>
      <c r="L105" s="37">
        <v>1007</v>
      </c>
      <c r="M105" s="38">
        <v>1.2350000000000001</v>
      </c>
      <c r="N105" s="39">
        <v>1.8739999999999999</v>
      </c>
      <c r="O105" s="38">
        <f t="shared" si="13"/>
        <v>13.312499999999995</v>
      </c>
      <c r="P105" s="40">
        <f t="shared" si="9"/>
        <v>12.901357003344424</v>
      </c>
      <c r="Q105" s="39">
        <v>0.36290000000000006</v>
      </c>
      <c r="R105" s="41">
        <f t="shared" si="14"/>
        <v>7.5604166666666677</v>
      </c>
      <c r="S105" s="42">
        <f t="shared" si="15"/>
        <v>7.326920902212354</v>
      </c>
      <c r="T105" s="39">
        <v>0.29170000000000001</v>
      </c>
      <c r="U105" s="41">
        <f t="shared" si="16"/>
        <v>6.0770833333333334</v>
      </c>
      <c r="V105" s="42">
        <f t="shared" si="10"/>
        <v>5.8893988073170114</v>
      </c>
      <c r="W105" s="43">
        <v>0.53264</v>
      </c>
      <c r="X105" s="41">
        <v>11.096666666666666</v>
      </c>
      <c r="Y105" s="42">
        <f t="shared" si="11"/>
        <v>10.753957424509196</v>
      </c>
      <c r="Z105" s="39">
        <v>0.27966666666666667</v>
      </c>
      <c r="AA105" s="41">
        <f t="shared" si="17"/>
        <v>5.8263888888888893</v>
      </c>
      <c r="AB105" s="42">
        <f t="shared" si="12"/>
        <v>5.6464468053239321</v>
      </c>
    </row>
    <row r="106" spans="1:28" s="43" customFormat="1" ht="19.75" customHeight="1" x14ac:dyDescent="0.35">
      <c r="A106" s="37">
        <v>13</v>
      </c>
      <c r="B106" s="35" t="s">
        <v>277</v>
      </c>
      <c r="C106" s="36" t="s">
        <v>262</v>
      </c>
      <c r="D106" s="55" t="s">
        <v>283</v>
      </c>
      <c r="E106" s="55" t="s">
        <v>280</v>
      </c>
      <c r="F106" s="36"/>
      <c r="G106" s="36"/>
      <c r="H106" s="36">
        <v>1</v>
      </c>
      <c r="I106" s="36">
        <v>240</v>
      </c>
      <c r="J106" s="36">
        <v>0.2</v>
      </c>
      <c r="K106" s="37">
        <v>30.2</v>
      </c>
      <c r="L106" s="37">
        <v>1008</v>
      </c>
      <c r="M106" s="38">
        <v>1.2350000000000001</v>
      </c>
      <c r="N106" s="39">
        <v>1.9330999999999998</v>
      </c>
      <c r="O106" s="38">
        <f t="shared" si="13"/>
        <v>14.543749999999994</v>
      </c>
      <c r="P106" s="40">
        <f t="shared" si="9"/>
        <v>14.220255102738317</v>
      </c>
      <c r="Q106" s="39">
        <v>2.1881000000000004</v>
      </c>
      <c r="R106" s="41">
        <f t="shared" si="14"/>
        <v>45.585416666666674</v>
      </c>
      <c r="S106" s="42">
        <f t="shared" si="15"/>
        <v>44.571465678701806</v>
      </c>
      <c r="T106" s="39">
        <v>0.81530000000000002</v>
      </c>
      <c r="U106" s="41">
        <f t="shared" si="16"/>
        <v>16.985416666666666</v>
      </c>
      <c r="V106" s="42">
        <f t="shared" si="10"/>
        <v>16.607612068847661</v>
      </c>
      <c r="W106" s="43">
        <v>1.9074000000000004</v>
      </c>
      <c r="X106" s="41">
        <v>39.737500000000011</v>
      </c>
      <c r="Y106" s="42">
        <f t="shared" si="11"/>
        <v>38.853623525230027</v>
      </c>
      <c r="Z106" s="39">
        <v>1.292</v>
      </c>
      <c r="AA106" s="41">
        <f t="shared" si="17"/>
        <v>26.916666666666668</v>
      </c>
      <c r="AB106" s="42">
        <f t="shared" si="12"/>
        <v>26.317962459157588</v>
      </c>
    </row>
    <row r="107" spans="1:28" s="43" customFormat="1" ht="19.75" customHeight="1" x14ac:dyDescent="0.35">
      <c r="A107" s="37">
        <v>14</v>
      </c>
      <c r="B107" s="35" t="s">
        <v>277</v>
      </c>
      <c r="C107" s="36" t="s">
        <v>263</v>
      </c>
      <c r="D107" s="55" t="s">
        <v>283</v>
      </c>
      <c r="E107" s="55" t="s">
        <v>281</v>
      </c>
      <c r="F107" s="36"/>
      <c r="G107" s="36"/>
      <c r="H107" s="36">
        <v>1</v>
      </c>
      <c r="I107" s="36">
        <v>240</v>
      </c>
      <c r="J107" s="36">
        <v>0.2</v>
      </c>
      <c r="K107" s="37">
        <v>35.1</v>
      </c>
      <c r="L107" s="37">
        <v>1006</v>
      </c>
      <c r="M107" s="38">
        <v>1.2350000000000001</v>
      </c>
      <c r="N107" s="39">
        <v>3.0032000000000001</v>
      </c>
      <c r="O107" s="38">
        <f t="shared" si="13"/>
        <v>36.837499999999999</v>
      </c>
      <c r="P107" s="40">
        <f t="shared" si="9"/>
        <v>35.374970219726571</v>
      </c>
      <c r="Q107" s="39">
        <v>2.9939</v>
      </c>
      <c r="R107" s="41">
        <f t="shared" si="14"/>
        <v>62.372916666666669</v>
      </c>
      <c r="S107" s="42">
        <f t="shared" si="15"/>
        <v>59.896574675285237</v>
      </c>
      <c r="T107" s="39">
        <v>1.4562999999999999</v>
      </c>
      <c r="U107" s="41">
        <f t="shared" si="16"/>
        <v>30.33958333333333</v>
      </c>
      <c r="V107" s="42">
        <f t="shared" si="10"/>
        <v>29.135035137986534</v>
      </c>
      <c r="W107" s="43">
        <v>1.9618</v>
      </c>
      <c r="X107" s="41">
        <v>40.87083333333333</v>
      </c>
      <c r="Y107" s="42">
        <f t="shared" si="11"/>
        <v>39.248171347731905</v>
      </c>
      <c r="Z107" s="39">
        <v>1.6933</v>
      </c>
      <c r="AA107" s="41">
        <f t="shared" si="17"/>
        <v>35.27708333333333</v>
      </c>
      <c r="AB107" s="42">
        <f t="shared" si="12"/>
        <v>33.87650552712531</v>
      </c>
    </row>
    <row r="108" spans="1:28" s="43" customFormat="1" ht="19.75" customHeight="1" x14ac:dyDescent="0.35">
      <c r="A108" s="37">
        <v>15</v>
      </c>
      <c r="B108" s="35" t="s">
        <v>277</v>
      </c>
      <c r="C108" s="36" t="s">
        <v>264</v>
      </c>
      <c r="D108" s="55" t="s">
        <v>283</v>
      </c>
      <c r="E108" s="55" t="s">
        <v>282</v>
      </c>
      <c r="F108" s="36"/>
      <c r="G108" s="36"/>
      <c r="H108" s="36">
        <v>1</v>
      </c>
      <c r="I108" s="36">
        <v>240</v>
      </c>
      <c r="J108" s="36">
        <v>0.2</v>
      </c>
      <c r="K108" s="37">
        <v>32.6</v>
      </c>
      <c r="L108" s="37">
        <v>1007</v>
      </c>
      <c r="M108" s="38">
        <v>1.2350000000000001</v>
      </c>
      <c r="N108" s="39">
        <v>2.6944000000000004</v>
      </c>
      <c r="O108" s="38">
        <f t="shared" si="13"/>
        <v>30.404166666666672</v>
      </c>
      <c r="P108" s="40">
        <f t="shared" si="9"/>
        <v>29.465164961941884</v>
      </c>
      <c r="Q108" s="39">
        <v>3.1638000000000002</v>
      </c>
      <c r="R108" s="41">
        <f t="shared" si="14"/>
        <v>65.912500000000009</v>
      </c>
      <c r="S108" s="42">
        <f t="shared" si="15"/>
        <v>63.876859604352298</v>
      </c>
      <c r="T108" s="39">
        <v>0.89259999999999995</v>
      </c>
      <c r="U108" s="41">
        <f t="shared" si="16"/>
        <v>18.595833333333331</v>
      </c>
      <c r="V108" s="42">
        <f t="shared" si="10"/>
        <v>18.021519970555925</v>
      </c>
      <c r="W108" s="43">
        <v>2.1534</v>
      </c>
      <c r="X108" s="41">
        <v>44.862499999999997</v>
      </c>
      <c r="Y108" s="42">
        <f t="shared" si="11"/>
        <v>43.476967403758827</v>
      </c>
      <c r="Z108" s="39">
        <v>1.4923</v>
      </c>
      <c r="AA108" s="41">
        <f t="shared" si="17"/>
        <v>31.089583333333334</v>
      </c>
      <c r="AB108" s="42">
        <f t="shared" si="12"/>
        <v>30.129413233319081</v>
      </c>
    </row>
    <row r="109" spans="1:28" ht="19.75" customHeight="1" x14ac:dyDescent="0.35">
      <c r="A109" s="37">
        <v>16</v>
      </c>
      <c r="B109" s="35" t="s">
        <v>277</v>
      </c>
      <c r="C109" s="36" t="s">
        <v>265</v>
      </c>
      <c r="D109" s="55" t="s">
        <v>284</v>
      </c>
      <c r="E109" s="55" t="s">
        <v>280</v>
      </c>
      <c r="F109" s="57" t="s">
        <v>129</v>
      </c>
      <c r="G109" s="36" t="s">
        <v>136</v>
      </c>
      <c r="H109" s="36">
        <v>1</v>
      </c>
      <c r="I109" s="36">
        <v>240</v>
      </c>
      <c r="J109" s="36">
        <v>0.2</v>
      </c>
      <c r="K109" s="37">
        <v>30.2</v>
      </c>
      <c r="L109" s="37">
        <v>1008</v>
      </c>
      <c r="M109" s="38">
        <v>1.2350000000000001</v>
      </c>
      <c r="N109" s="39">
        <v>2.0735000000000001</v>
      </c>
      <c r="O109" s="38">
        <f t="shared" si="13"/>
        <v>17.46875</v>
      </c>
      <c r="P109" s="40">
        <f t="shared" si="9"/>
        <v>17.080194676473404</v>
      </c>
      <c r="Q109" s="39">
        <v>2.1634000000000002</v>
      </c>
      <c r="R109" s="41">
        <f t="shared" si="14"/>
        <v>45.07083333333334</v>
      </c>
      <c r="S109" s="42">
        <f t="shared" si="15"/>
        <v>44.068328161100268</v>
      </c>
      <c r="T109" s="39">
        <v>1.0606</v>
      </c>
      <c r="U109" s="41">
        <f t="shared" si="16"/>
        <v>22.095833333333331</v>
      </c>
      <c r="V109" s="42">
        <f t="shared" si="10"/>
        <v>21.60435834689051</v>
      </c>
      <c r="W109" s="43">
        <v>1.6846000000000001</v>
      </c>
      <c r="X109" s="41">
        <v>35.095833333333331</v>
      </c>
      <c r="Y109" s="42">
        <f t="shared" si="11"/>
        <v>34.315200896824201</v>
      </c>
      <c r="Z109" s="39">
        <v>0.94620000000000004</v>
      </c>
      <c r="AA109" s="41">
        <f t="shared" si="17"/>
        <v>19.712500000000002</v>
      </c>
      <c r="AB109" s="42">
        <f t="shared" si="12"/>
        <v>19.274037212736001</v>
      </c>
    </row>
    <row r="110" spans="1:28" ht="19.75" customHeight="1" x14ac:dyDescent="0.35">
      <c r="A110" s="37">
        <v>17</v>
      </c>
      <c r="B110" s="35" t="s">
        <v>277</v>
      </c>
      <c r="C110" s="36" t="s">
        <v>266</v>
      </c>
      <c r="D110" s="55" t="s">
        <v>284</v>
      </c>
      <c r="E110" s="55" t="s">
        <v>281</v>
      </c>
      <c r="F110" s="58"/>
      <c r="G110" s="36" t="s">
        <v>137</v>
      </c>
      <c r="H110" s="36">
        <v>1</v>
      </c>
      <c r="I110" s="36">
        <v>240</v>
      </c>
      <c r="J110" s="36">
        <v>0.2</v>
      </c>
      <c r="K110" s="37">
        <v>35.1</v>
      </c>
      <c r="L110" s="37">
        <v>1006</v>
      </c>
      <c r="M110" s="38">
        <v>1.2350000000000001</v>
      </c>
      <c r="N110" s="39">
        <v>3.1699000000000002</v>
      </c>
      <c r="O110" s="38">
        <f t="shared" si="13"/>
        <v>40.310416666666669</v>
      </c>
      <c r="P110" s="40">
        <f t="shared" si="9"/>
        <v>38.710004455462574</v>
      </c>
      <c r="Q110" s="39">
        <v>3.9940740000000003</v>
      </c>
      <c r="R110" s="41">
        <f t="shared" si="14"/>
        <v>83.209875000000011</v>
      </c>
      <c r="S110" s="42">
        <f t="shared" si="15"/>
        <v>79.906259928392828</v>
      </c>
      <c r="T110" s="39">
        <v>1.4190999999999998</v>
      </c>
      <c r="U110" s="41">
        <f t="shared" si="16"/>
        <v>29.564583333333328</v>
      </c>
      <c r="V110" s="42">
        <f t="shared" si="10"/>
        <v>28.390804342729304</v>
      </c>
      <c r="W110" s="43">
        <v>3.3668</v>
      </c>
      <c r="X110" s="41">
        <v>70.141666666666666</v>
      </c>
      <c r="Y110" s="42">
        <f t="shared" si="11"/>
        <v>67.356888211613722</v>
      </c>
      <c r="Z110" s="39">
        <v>1.7362</v>
      </c>
      <c r="AA110" s="41">
        <f t="shared" si="17"/>
        <v>36.170833333333334</v>
      </c>
      <c r="AB110" s="42">
        <f t="shared" si="12"/>
        <v>34.734771686171968</v>
      </c>
    </row>
    <row r="111" spans="1:28" ht="19.75" customHeight="1" x14ac:dyDescent="0.35">
      <c r="A111" s="37">
        <v>18</v>
      </c>
      <c r="B111" s="35" t="s">
        <v>277</v>
      </c>
      <c r="C111" s="36" t="s">
        <v>267</v>
      </c>
      <c r="D111" s="55" t="s">
        <v>284</v>
      </c>
      <c r="E111" s="55" t="s">
        <v>282</v>
      </c>
      <c r="F111" s="58"/>
      <c r="G111" s="36" t="s">
        <v>138</v>
      </c>
      <c r="H111" s="36">
        <v>1</v>
      </c>
      <c r="I111" s="36">
        <v>240</v>
      </c>
      <c r="J111" s="36">
        <v>0.2</v>
      </c>
      <c r="K111" s="37">
        <v>32.6</v>
      </c>
      <c r="L111" s="37">
        <v>1007</v>
      </c>
      <c r="M111" s="38">
        <v>1.2350000000000001</v>
      </c>
      <c r="N111" s="39">
        <v>2.9309000000000003</v>
      </c>
      <c r="O111" s="38">
        <f t="shared" si="13"/>
        <v>35.331250000000004</v>
      </c>
      <c r="P111" s="40">
        <f t="shared" si="9"/>
        <v>34.240080347373748</v>
      </c>
      <c r="Q111" s="39">
        <v>4.27562</v>
      </c>
      <c r="R111" s="41">
        <f t="shared" si="14"/>
        <v>89.075416666666669</v>
      </c>
      <c r="S111" s="42">
        <f t="shared" si="15"/>
        <v>86.32441319348905</v>
      </c>
      <c r="T111" s="39">
        <v>1.1432</v>
      </c>
      <c r="U111" s="41">
        <f t="shared" si="16"/>
        <v>23.816666666666666</v>
      </c>
      <c r="V111" s="42">
        <f t="shared" si="10"/>
        <v>23.081113186578012</v>
      </c>
      <c r="W111" s="43">
        <v>2.9678</v>
      </c>
      <c r="X111" s="41">
        <v>61.829166666666666</v>
      </c>
      <c r="Y111" s="42">
        <f t="shared" si="11"/>
        <v>59.919635859977461</v>
      </c>
      <c r="Z111" s="39">
        <v>1.8291999999999999</v>
      </c>
      <c r="AA111" s="41">
        <f t="shared" si="17"/>
        <v>38.108333333333334</v>
      </c>
      <c r="AB111" s="42">
        <f t="shared" si="12"/>
        <v>36.931396291889875</v>
      </c>
    </row>
    <row r="112" spans="1:28" s="43" customFormat="1" ht="19.75" customHeight="1" x14ac:dyDescent="0.35">
      <c r="A112" s="37">
        <v>19</v>
      </c>
      <c r="B112" s="35" t="s">
        <v>277</v>
      </c>
      <c r="C112" s="36" t="s">
        <v>268</v>
      </c>
      <c r="D112" s="55" t="s">
        <v>279</v>
      </c>
      <c r="E112" s="55" t="s">
        <v>280</v>
      </c>
      <c r="F112" s="36"/>
      <c r="G112" s="36"/>
      <c r="H112" s="36">
        <v>1</v>
      </c>
      <c r="I112" s="36">
        <v>240</v>
      </c>
      <c r="J112" s="36">
        <v>0.2</v>
      </c>
      <c r="K112" s="37">
        <v>30.3</v>
      </c>
      <c r="L112" s="37">
        <v>1008</v>
      </c>
      <c r="M112" s="38">
        <v>1.2350000000000001</v>
      </c>
      <c r="N112" s="39">
        <v>1.4930999999999999</v>
      </c>
      <c r="O112" s="38">
        <f t="shared" si="13"/>
        <v>5.3770833333333288</v>
      </c>
      <c r="P112" s="40">
        <f t="shared" si="9"/>
        <v>5.2557480836873784</v>
      </c>
      <c r="Q112" s="39">
        <v>0.40550000000000003</v>
      </c>
      <c r="R112" s="41">
        <f t="shared" si="14"/>
        <v>8.4479166666666679</v>
      </c>
      <c r="S112" s="42">
        <f t="shared" si="15"/>
        <v>8.2572872837475177</v>
      </c>
      <c r="T112" s="47">
        <v>0.37230000000000002</v>
      </c>
      <c r="U112" s="41">
        <f t="shared" si="16"/>
        <v>7.7562500000000005</v>
      </c>
      <c r="V112" s="42">
        <f t="shared" si="10"/>
        <v>7.5812282508981506</v>
      </c>
      <c r="W112" s="43">
        <v>0.53339999999999999</v>
      </c>
      <c r="X112" s="41">
        <v>11.112499999999999</v>
      </c>
      <c r="Y112" s="42">
        <f t="shared" si="11"/>
        <v>10.861743618128051</v>
      </c>
      <c r="Z112" s="39">
        <v>0.47666666666666702</v>
      </c>
      <c r="AA112" s="41">
        <f t="shared" si="17"/>
        <v>9.9305555555555625</v>
      </c>
      <c r="AB112" s="42">
        <f t="shared" si="12"/>
        <v>9.7064700499457111</v>
      </c>
    </row>
    <row r="113" spans="1:28" s="43" customFormat="1" ht="15.5" x14ac:dyDescent="0.35">
      <c r="A113" s="37">
        <v>20</v>
      </c>
      <c r="B113" s="35" t="s">
        <v>277</v>
      </c>
      <c r="C113" s="36" t="s">
        <v>269</v>
      </c>
      <c r="D113" s="55" t="s">
        <v>279</v>
      </c>
      <c r="E113" s="55" t="s">
        <v>281</v>
      </c>
      <c r="F113" s="36"/>
      <c r="G113" s="36"/>
      <c r="H113" s="36">
        <v>1</v>
      </c>
      <c r="I113" s="36">
        <v>240</v>
      </c>
      <c r="J113" s="36">
        <v>0.2</v>
      </c>
      <c r="K113" s="37">
        <v>35.700000000000003</v>
      </c>
      <c r="L113" s="37">
        <v>1006</v>
      </c>
      <c r="M113" s="38">
        <v>1.2350000000000001</v>
      </c>
      <c r="N113" s="39">
        <v>1.4278999999999999</v>
      </c>
      <c r="O113" s="38">
        <f t="shared" si="13"/>
        <v>4.0187499999999972</v>
      </c>
      <c r="P113" s="40">
        <f t="shared" si="9"/>
        <v>3.8516959166968965</v>
      </c>
      <c r="Q113" s="39">
        <v>0.61650000000000005</v>
      </c>
      <c r="R113" s="41">
        <f t="shared" si="14"/>
        <v>12.84375</v>
      </c>
      <c r="S113" s="42">
        <f t="shared" si="15"/>
        <v>12.309852424280136</v>
      </c>
      <c r="T113" s="47">
        <v>0.3029</v>
      </c>
      <c r="U113" s="41">
        <f t="shared" si="16"/>
        <v>6.3104166666666668</v>
      </c>
      <c r="V113" s="42">
        <f t="shared" si="10"/>
        <v>6.048101053227013</v>
      </c>
      <c r="W113" s="43">
        <v>0.57965999999999995</v>
      </c>
      <c r="X113" s="41">
        <v>12.076249999999998</v>
      </c>
      <c r="Y113" s="42">
        <f t="shared" si="11"/>
        <v>11.574256376736777</v>
      </c>
      <c r="Z113" s="39">
        <v>0.39529999999999998</v>
      </c>
      <c r="AA113" s="41">
        <f t="shared" si="17"/>
        <v>8.2354166666666657</v>
      </c>
      <c r="AB113" s="42">
        <f t="shared" si="12"/>
        <v>7.8930813679123082</v>
      </c>
    </row>
    <row r="114" spans="1:28" s="43" customFormat="1" ht="19.75" customHeight="1" x14ac:dyDescent="0.35">
      <c r="A114" s="37">
        <v>21</v>
      </c>
      <c r="B114" s="35" t="s">
        <v>277</v>
      </c>
      <c r="C114" s="36" t="s">
        <v>270</v>
      </c>
      <c r="D114" s="55" t="s">
        <v>279</v>
      </c>
      <c r="E114" s="55" t="s">
        <v>282</v>
      </c>
      <c r="F114" s="36"/>
      <c r="G114" s="36"/>
      <c r="H114" s="36">
        <v>1</v>
      </c>
      <c r="I114" s="36">
        <v>240</v>
      </c>
      <c r="J114" s="36">
        <v>0.2</v>
      </c>
      <c r="K114" s="37">
        <v>32.9</v>
      </c>
      <c r="L114" s="37">
        <v>1007</v>
      </c>
      <c r="M114" s="38">
        <v>1.2350000000000001</v>
      </c>
      <c r="N114" s="39">
        <v>1.5376000000000001</v>
      </c>
      <c r="O114" s="38">
        <f t="shared" si="13"/>
        <v>6.3041666666666663</v>
      </c>
      <c r="P114" s="40">
        <f t="shared" si="9"/>
        <v>6.1034772698596598</v>
      </c>
      <c r="Q114" s="39">
        <v>0.61070000000000002</v>
      </c>
      <c r="R114" s="41">
        <f t="shared" si="14"/>
        <v>12.722916666666666</v>
      </c>
      <c r="S114" s="42">
        <f t="shared" si="15"/>
        <v>12.317890180777576</v>
      </c>
      <c r="T114" s="47">
        <v>0.37319999999999998</v>
      </c>
      <c r="U114" s="41">
        <f t="shared" si="16"/>
        <v>7.7749999999999995</v>
      </c>
      <c r="V114" s="42">
        <f t="shared" si="10"/>
        <v>7.5274874987165399</v>
      </c>
      <c r="W114" s="43">
        <v>0.57342000000000004</v>
      </c>
      <c r="X114" s="41">
        <v>11.946250000000001</v>
      </c>
      <c r="Y114" s="42">
        <f t="shared" si="11"/>
        <v>11.565948235568165</v>
      </c>
      <c r="Z114" s="39">
        <v>0.42749999999999999</v>
      </c>
      <c r="AA114" s="41">
        <f>(Z114*H114)/(I114*J114*10^-3)</f>
        <v>8.90625</v>
      </c>
      <c r="AB114" s="42">
        <f t="shared" si="12"/>
        <v>8.6227248277098631</v>
      </c>
    </row>
    <row r="115" spans="1:28" s="43" customFormat="1" ht="19.75" customHeight="1" x14ac:dyDescent="0.35">
      <c r="A115" s="37">
        <v>22</v>
      </c>
      <c r="B115" s="35" t="s">
        <v>277</v>
      </c>
      <c r="C115" s="36" t="s">
        <v>271</v>
      </c>
      <c r="D115" s="55" t="s">
        <v>283</v>
      </c>
      <c r="E115" s="55" t="s">
        <v>280</v>
      </c>
      <c r="F115" s="36"/>
      <c r="G115" s="36"/>
      <c r="H115" s="36">
        <v>1</v>
      </c>
      <c r="I115" s="36">
        <v>240</v>
      </c>
      <c r="J115" s="36">
        <v>0.2</v>
      </c>
      <c r="K115" s="37">
        <v>30.3</v>
      </c>
      <c r="L115" s="37">
        <v>1008</v>
      </c>
      <c r="M115" s="38">
        <v>1.2350000000000001</v>
      </c>
      <c r="N115" s="39">
        <v>2.2441</v>
      </c>
      <c r="O115" s="38">
        <f t="shared" si="13"/>
        <v>21.022916666666664</v>
      </c>
      <c r="P115" s="40">
        <f t="shared" si="9"/>
        <v>20.548529218322116</v>
      </c>
      <c r="Q115" s="39">
        <v>2.1129000000000002</v>
      </c>
      <c r="R115" s="41">
        <f t="shared" si="14"/>
        <v>44.018750000000004</v>
      </c>
      <c r="S115" s="42">
        <f t="shared" si="15"/>
        <v>43.025455738175403</v>
      </c>
      <c r="T115" s="47">
        <v>0.81059999999999999</v>
      </c>
      <c r="U115" s="41">
        <f t="shared" si="16"/>
        <v>16.887499999999999</v>
      </c>
      <c r="V115" s="42">
        <f t="shared" si="10"/>
        <v>16.50642927794263</v>
      </c>
      <c r="W115" s="43">
        <v>1.6406000000000001</v>
      </c>
      <c r="X115" s="41">
        <v>34.179166666666667</v>
      </c>
      <c r="Y115" s="42">
        <f t="shared" si="11"/>
        <v>33.407905099176752</v>
      </c>
      <c r="Z115" s="39">
        <v>0.89940000000000009</v>
      </c>
      <c r="AA115" s="41">
        <f t="shared" si="17"/>
        <v>18.737500000000001</v>
      </c>
      <c r="AB115" s="42">
        <f t="shared" si="12"/>
        <v>18.314683558575872</v>
      </c>
    </row>
    <row r="116" spans="1:28" s="43" customFormat="1" ht="19.75" customHeight="1" x14ac:dyDescent="0.35">
      <c r="A116" s="37">
        <v>23</v>
      </c>
      <c r="B116" s="35" t="s">
        <v>277</v>
      </c>
      <c r="C116" s="36" t="s">
        <v>272</v>
      </c>
      <c r="D116" s="55" t="s">
        <v>283</v>
      </c>
      <c r="E116" s="55" t="s">
        <v>281</v>
      </c>
      <c r="F116" s="36"/>
      <c r="G116" s="36"/>
      <c r="H116" s="36">
        <v>1</v>
      </c>
      <c r="I116" s="36">
        <v>240</v>
      </c>
      <c r="J116" s="36">
        <v>0.2</v>
      </c>
      <c r="K116" s="37">
        <v>35.700000000000003</v>
      </c>
      <c r="L116" s="37">
        <v>1006</v>
      </c>
      <c r="M116" s="38">
        <v>1.2350000000000001</v>
      </c>
      <c r="N116" s="39">
        <v>2.5536000000000003</v>
      </c>
      <c r="O116" s="38">
        <f t="shared" si="13"/>
        <v>27.470833333333339</v>
      </c>
      <c r="P116" s="40">
        <f t="shared" si="9"/>
        <v>26.328907391169167</v>
      </c>
      <c r="Q116" s="39">
        <v>3.1478000000000002</v>
      </c>
      <c r="R116" s="41">
        <f t="shared" si="14"/>
        <v>65.579166666666666</v>
      </c>
      <c r="S116" s="42">
        <f t="shared" si="15"/>
        <v>62.853128079722644</v>
      </c>
      <c r="T116" s="47">
        <v>1.3292999999999999</v>
      </c>
      <c r="U116" s="41">
        <f t="shared" si="16"/>
        <v>27.693749999999998</v>
      </c>
      <c r="V116" s="42">
        <f t="shared" si="10"/>
        <v>26.542557708995272</v>
      </c>
      <c r="W116" s="43">
        <v>1.9404000000000001</v>
      </c>
      <c r="X116" s="41">
        <v>40.425000000000004</v>
      </c>
      <c r="Y116" s="42">
        <f t="shared" si="11"/>
        <v>38.744586608391202</v>
      </c>
      <c r="Z116" s="39">
        <v>1.5501999999999998</v>
      </c>
      <c r="AA116" s="41">
        <f t="shared" si="17"/>
        <v>32.295833333333327</v>
      </c>
      <c r="AB116" s="42">
        <f t="shared" si="12"/>
        <v>30.953338569536193</v>
      </c>
    </row>
    <row r="117" spans="1:28" s="43" customFormat="1" ht="19.75" customHeight="1" x14ac:dyDescent="0.35">
      <c r="A117" s="37">
        <v>24</v>
      </c>
      <c r="B117" s="35" t="s">
        <v>277</v>
      </c>
      <c r="C117" s="36" t="s">
        <v>273</v>
      </c>
      <c r="D117" s="55" t="s">
        <v>283</v>
      </c>
      <c r="E117" s="55" t="s">
        <v>282</v>
      </c>
      <c r="F117" s="36"/>
      <c r="G117" s="36"/>
      <c r="H117" s="36">
        <v>1</v>
      </c>
      <c r="I117" s="36">
        <v>240</v>
      </c>
      <c r="J117" s="36">
        <v>0.2</v>
      </c>
      <c r="K117" s="37">
        <v>32.9</v>
      </c>
      <c r="L117" s="37">
        <v>1007</v>
      </c>
      <c r="M117" s="38">
        <v>1.2350000000000001</v>
      </c>
      <c r="N117" s="39">
        <v>2.4159000000000002</v>
      </c>
      <c r="O117" s="38">
        <f t="shared" si="13"/>
        <v>24.602083333333333</v>
      </c>
      <c r="P117" s="40">
        <f t="shared" si="9"/>
        <v>23.818890641035271</v>
      </c>
      <c r="Q117" s="39">
        <v>3.1091000000000002</v>
      </c>
      <c r="R117" s="41">
        <f t="shared" si="14"/>
        <v>64.772916666666674</v>
      </c>
      <c r="S117" s="42">
        <f t="shared" si="15"/>
        <v>62.710909384404069</v>
      </c>
      <c r="T117" s="47">
        <v>0.88600000000000001</v>
      </c>
      <c r="U117" s="41">
        <f t="shared" si="16"/>
        <v>18.458333333333332</v>
      </c>
      <c r="V117" s="42">
        <f t="shared" si="10"/>
        <v>17.870723268657166</v>
      </c>
      <c r="W117" s="43">
        <v>1.71844</v>
      </c>
      <c r="X117" s="41">
        <v>35.80083333333333</v>
      </c>
      <c r="Y117" s="42">
        <f t="shared" si="11"/>
        <v>34.661135094572487</v>
      </c>
      <c r="Z117" s="39">
        <v>1.2531999999999999</v>
      </c>
      <c r="AA117" s="41">
        <f t="shared" si="17"/>
        <v>26.108333333333331</v>
      </c>
      <c r="AB117" s="42">
        <f t="shared" si="12"/>
        <v>25.277190068037424</v>
      </c>
    </row>
    <row r="118" spans="1:28" s="43" customFormat="1" ht="19.75" customHeight="1" x14ac:dyDescent="0.35">
      <c r="A118" s="37">
        <v>25</v>
      </c>
      <c r="B118" s="35" t="s">
        <v>277</v>
      </c>
      <c r="C118" s="36" t="s">
        <v>274</v>
      </c>
      <c r="D118" s="55" t="s">
        <v>284</v>
      </c>
      <c r="E118" s="55" t="s">
        <v>280</v>
      </c>
      <c r="F118" s="36"/>
      <c r="G118" s="36"/>
      <c r="H118" s="36">
        <v>1</v>
      </c>
      <c r="I118" s="36">
        <v>240</v>
      </c>
      <c r="J118" s="36">
        <v>0.2</v>
      </c>
      <c r="K118" s="37">
        <v>30.3</v>
      </c>
      <c r="L118" s="37">
        <v>1008</v>
      </c>
      <c r="M118" s="38">
        <v>1.2350000000000001</v>
      </c>
      <c r="N118" s="39">
        <v>2.2951999999999999</v>
      </c>
      <c r="O118" s="38">
        <f t="shared" si="13"/>
        <v>22.087499999999995</v>
      </c>
      <c r="P118" s="40">
        <f t="shared" si="9"/>
        <v>21.589089958641463</v>
      </c>
      <c r="Q118" s="39">
        <v>2.644336</v>
      </c>
      <c r="R118" s="41">
        <f t="shared" si="14"/>
        <v>55.090333333333334</v>
      </c>
      <c r="S118" s="42">
        <f t="shared" si="15"/>
        <v>53.84720598460116</v>
      </c>
      <c r="T118" s="47">
        <v>0.88679999999999992</v>
      </c>
      <c r="U118" s="41">
        <f t="shared" si="16"/>
        <v>18.474999999999998</v>
      </c>
      <c r="V118" s="42">
        <f t="shared" si="10"/>
        <v>18.058106937675205</v>
      </c>
      <c r="W118" s="43">
        <v>1.6752</v>
      </c>
      <c r="X118" s="41">
        <v>34.9</v>
      </c>
      <c r="Y118" s="42">
        <f t="shared" si="11"/>
        <v>34.112472645459526</v>
      </c>
      <c r="Z118" s="39">
        <v>0.81530000000000002</v>
      </c>
      <c r="AA118" s="41">
        <f t="shared" si="17"/>
        <v>16.985416666666666</v>
      </c>
      <c r="AB118" s="42">
        <f t="shared" si="12"/>
        <v>16.60213643018335</v>
      </c>
    </row>
    <row r="119" spans="1:28" s="43" customFormat="1" ht="19.75" customHeight="1" x14ac:dyDescent="0.35">
      <c r="A119" s="37">
        <v>26</v>
      </c>
      <c r="B119" s="35" t="s">
        <v>277</v>
      </c>
      <c r="C119" s="36" t="s">
        <v>275</v>
      </c>
      <c r="D119" s="55" t="s">
        <v>284</v>
      </c>
      <c r="E119" s="55" t="s">
        <v>281</v>
      </c>
      <c r="F119" s="36"/>
      <c r="G119" s="36"/>
      <c r="H119" s="36">
        <v>1</v>
      </c>
      <c r="I119" s="36">
        <v>240</v>
      </c>
      <c r="J119" s="36">
        <v>0.2</v>
      </c>
      <c r="K119" s="37">
        <v>35.700000000000003</v>
      </c>
      <c r="L119" s="37">
        <v>1006</v>
      </c>
      <c r="M119" s="38">
        <v>1.2350000000000001</v>
      </c>
      <c r="N119" s="39">
        <v>2.9830999999999999</v>
      </c>
      <c r="O119" s="38">
        <f t="shared" si="13"/>
        <v>36.418749999999996</v>
      </c>
      <c r="P119" s="40">
        <f t="shared" si="9"/>
        <v>34.904871083348105</v>
      </c>
      <c r="Q119" s="39">
        <v>5.36958</v>
      </c>
      <c r="R119" s="41">
        <f t="shared" si="14"/>
        <v>111.86624999999999</v>
      </c>
      <c r="S119" s="42">
        <f t="shared" si="15"/>
        <v>107.21611902735786</v>
      </c>
      <c r="T119" s="47">
        <v>1.641</v>
      </c>
      <c r="U119" s="41">
        <f t="shared" si="16"/>
        <v>34.1875</v>
      </c>
      <c r="V119" s="42">
        <f t="shared" si="10"/>
        <v>32.766371173144691</v>
      </c>
      <c r="W119" s="39">
        <v>3.4902000000000002</v>
      </c>
      <c r="X119" s="41">
        <v>72.712500000000006</v>
      </c>
      <c r="Y119" s="42">
        <f t="shared" si="11"/>
        <v>69.689938250158207</v>
      </c>
      <c r="Z119" s="39">
        <v>1.5597299999999998</v>
      </c>
      <c r="AA119" s="41">
        <f t="shared" si="17"/>
        <v>32.494374999999998</v>
      </c>
      <c r="AB119" s="42">
        <f t="shared" si="12"/>
        <v>31.143627123637398</v>
      </c>
    </row>
    <row r="120" spans="1:28" s="43" customFormat="1" ht="19.75" customHeight="1" x14ac:dyDescent="0.35">
      <c r="A120" s="37">
        <v>27</v>
      </c>
      <c r="B120" s="35" t="s">
        <v>277</v>
      </c>
      <c r="C120" s="36" t="s">
        <v>276</v>
      </c>
      <c r="D120" s="55" t="s">
        <v>284</v>
      </c>
      <c r="E120" s="55" t="s">
        <v>282</v>
      </c>
      <c r="F120" s="36"/>
      <c r="G120" s="36"/>
      <c r="H120" s="36">
        <v>1</v>
      </c>
      <c r="I120" s="36">
        <v>240</v>
      </c>
      <c r="J120" s="36">
        <v>0.2</v>
      </c>
      <c r="K120" s="37">
        <v>32.9</v>
      </c>
      <c r="L120" s="37">
        <v>1007</v>
      </c>
      <c r="M120" s="38">
        <v>1.2350000000000001</v>
      </c>
      <c r="N120" s="39">
        <v>2.9851000000000001</v>
      </c>
      <c r="O120" s="38">
        <f t="shared" si="13"/>
        <v>36.460416666666667</v>
      </c>
      <c r="P120" s="40">
        <f t="shared" si="9"/>
        <v>35.299720984736922</v>
      </c>
      <c r="Q120" s="39">
        <v>4.0776500000000002</v>
      </c>
      <c r="R120" s="41">
        <f t="shared" si="14"/>
        <v>84.951041666666669</v>
      </c>
      <c r="S120" s="42">
        <f t="shared" si="15"/>
        <v>82.246675774762863</v>
      </c>
      <c r="T120" s="47">
        <v>1.4658</v>
      </c>
      <c r="U120" s="41">
        <f t="shared" si="16"/>
        <v>30.537499999999998</v>
      </c>
      <c r="V120" s="42">
        <f t="shared" si="10"/>
        <v>29.565356847852904</v>
      </c>
      <c r="W120" s="39">
        <v>2.9216000000000002</v>
      </c>
      <c r="X120" s="41">
        <v>60.866666666666667</v>
      </c>
      <c r="Y120" s="42">
        <f t="shared" si="11"/>
        <v>58.929012530145357</v>
      </c>
      <c r="Z120" s="39">
        <v>1.3065</v>
      </c>
      <c r="AA120" s="41">
        <f t="shared" si="17"/>
        <v>27.21875</v>
      </c>
      <c r="AB120" s="42">
        <f t="shared" si="12"/>
        <v>26.352257280474706</v>
      </c>
    </row>
    <row r="121" spans="1:28" ht="15.5" x14ac:dyDescent="0.35">
      <c r="C121" s="48"/>
      <c r="D121" s="48"/>
      <c r="E121" s="48"/>
      <c r="F121" s="48"/>
      <c r="G121" s="48"/>
      <c r="H121" s="30"/>
      <c r="I121" s="30"/>
      <c r="J121" s="30"/>
      <c r="K121" s="30"/>
      <c r="L121" s="49"/>
      <c r="M121" s="48"/>
      <c r="N121" s="48"/>
      <c r="O121" s="30"/>
      <c r="P121" s="50"/>
      <c r="Q121" s="48"/>
      <c r="R121" s="51"/>
      <c r="S121" s="52"/>
      <c r="T121" s="48"/>
      <c r="U121" s="51"/>
      <c r="V121" s="53"/>
      <c r="W121" s="54"/>
      <c r="X121" s="51"/>
      <c r="Y121" s="51"/>
      <c r="Z121" s="54"/>
      <c r="AA121" s="51"/>
      <c r="AB121" s="51"/>
    </row>
  </sheetData>
  <autoFilter ref="A3:AB120" xr:uid="{18D4E50A-ADF2-4415-8687-6BBE55335B77}"/>
  <mergeCells count="22">
    <mergeCell ref="F43:F45"/>
    <mergeCell ref="F46:F48"/>
    <mergeCell ref="F79:F81"/>
    <mergeCell ref="F82:F84"/>
    <mergeCell ref="F85:F87"/>
    <mergeCell ref="F109:F111"/>
    <mergeCell ref="F88:F90"/>
    <mergeCell ref="F91:F93"/>
    <mergeCell ref="F97:F99"/>
    <mergeCell ref="F100:F102"/>
    <mergeCell ref="F103:F105"/>
    <mergeCell ref="W2:Y2"/>
    <mergeCell ref="Z2:AB2"/>
    <mergeCell ref="F37:F39"/>
    <mergeCell ref="F40:F42"/>
    <mergeCell ref="M2:P2"/>
    <mergeCell ref="Q2:S2"/>
    <mergeCell ref="T2:V2"/>
    <mergeCell ref="F25:F27"/>
    <mergeCell ref="F28:F30"/>
    <mergeCell ref="F31:F33"/>
    <mergeCell ref="F34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Tinh toan VOCs-Final (14112025)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2015-06-05T18:17:20Z</dcterms:created>
  <dcterms:modified xsi:type="dcterms:W3CDTF">2025-11-14T21:41:38Z</dcterms:modified>
</cp:coreProperties>
</file>